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4445" yWindow="0" windowWidth="10560" windowHeight="12360" tabRatio="879" activeTab="2"/>
  </bookViews>
  <sheets>
    <sheet name="Formulas por especie" sheetId="31" r:id="rId1"/>
    <sheet name="MEDICIONES CONIFERAS" sheetId="1" r:id="rId2"/>
    <sheet name="MEDICIONES LATIFOLIADAS" sheetId="2" r:id="rId3"/>
    <sheet name="Densidades para coniferas" sheetId="32" r:id="rId4"/>
    <sheet name="Densidades para latifoliadas" sheetId="33" r:id="rId5"/>
  </sheets>
  <definedNames>
    <definedName name="_xlnm._FilterDatabase" localSheetId="1" hidden="1">'MEDICIONES CONIFERAS'!$N$5:$Q$477</definedName>
  </definedNames>
  <calcPr calcId="144525"/>
</workbook>
</file>

<file path=xl/calcChain.xml><?xml version="1.0" encoding="utf-8"?>
<calcChain xmlns="http://schemas.openxmlformats.org/spreadsheetml/2006/main">
  <c r="J6" i="1" l="1"/>
  <c r="E41" i="33" l="1"/>
  <c r="E22" i="32"/>
  <c r="M36" i="2" l="1"/>
  <c r="M556" i="2" l="1"/>
  <c r="R556" i="2" s="1"/>
  <c r="L556" i="2"/>
  <c r="Q556" i="2" s="1"/>
  <c r="K556" i="2"/>
  <c r="P556" i="2" s="1"/>
  <c r="J556" i="2"/>
  <c r="O556" i="2" s="1"/>
  <c r="M555" i="2"/>
  <c r="R555" i="2" s="1"/>
  <c r="L555" i="2"/>
  <c r="Q555" i="2" s="1"/>
  <c r="K555" i="2"/>
  <c r="P555" i="2" s="1"/>
  <c r="J555" i="2"/>
  <c r="O555" i="2" s="1"/>
  <c r="M554" i="2"/>
  <c r="R554" i="2" s="1"/>
  <c r="L554" i="2"/>
  <c r="Q554" i="2" s="1"/>
  <c r="K554" i="2"/>
  <c r="P554" i="2" s="1"/>
  <c r="J554" i="2"/>
  <c r="O554" i="2" s="1"/>
  <c r="M553" i="2"/>
  <c r="R553" i="2" s="1"/>
  <c r="L553" i="2"/>
  <c r="Q553" i="2" s="1"/>
  <c r="K553" i="2"/>
  <c r="P553" i="2" s="1"/>
  <c r="J553" i="2"/>
  <c r="O553" i="2" s="1"/>
  <c r="M552" i="2"/>
  <c r="R552" i="2" s="1"/>
  <c r="L552" i="2"/>
  <c r="Q552" i="2" s="1"/>
  <c r="K552" i="2"/>
  <c r="P552" i="2" s="1"/>
  <c r="J552" i="2"/>
  <c r="O552" i="2" s="1"/>
  <c r="M551" i="2"/>
  <c r="R551" i="2" s="1"/>
  <c r="L551" i="2"/>
  <c r="Q551" i="2" s="1"/>
  <c r="K551" i="2"/>
  <c r="P551" i="2" s="1"/>
  <c r="J551" i="2"/>
  <c r="O551" i="2" s="1"/>
  <c r="M550" i="2"/>
  <c r="R550" i="2" s="1"/>
  <c r="L550" i="2"/>
  <c r="Q550" i="2" s="1"/>
  <c r="K550" i="2"/>
  <c r="P550" i="2" s="1"/>
  <c r="J550" i="2"/>
  <c r="O550" i="2" s="1"/>
  <c r="M549" i="2"/>
  <c r="R549" i="2" s="1"/>
  <c r="L549" i="2"/>
  <c r="Q549" i="2" s="1"/>
  <c r="K549" i="2"/>
  <c r="P549" i="2" s="1"/>
  <c r="J549" i="2"/>
  <c r="O549" i="2" s="1"/>
  <c r="M548" i="2"/>
  <c r="R548" i="2" s="1"/>
  <c r="L548" i="2"/>
  <c r="Q548" i="2" s="1"/>
  <c r="K548" i="2"/>
  <c r="P548" i="2" s="1"/>
  <c r="J548" i="2"/>
  <c r="O548" i="2" s="1"/>
  <c r="M547" i="2"/>
  <c r="R547" i="2" s="1"/>
  <c r="L547" i="2"/>
  <c r="Q547" i="2" s="1"/>
  <c r="K547" i="2"/>
  <c r="P547" i="2" s="1"/>
  <c r="J547" i="2"/>
  <c r="O547" i="2" s="1"/>
  <c r="M546" i="2"/>
  <c r="R546" i="2" s="1"/>
  <c r="L546" i="2"/>
  <c r="Q546" i="2" s="1"/>
  <c r="K546" i="2"/>
  <c r="P546" i="2" s="1"/>
  <c r="J546" i="2"/>
  <c r="O546" i="2" s="1"/>
  <c r="M545" i="2"/>
  <c r="R545" i="2" s="1"/>
  <c r="L545" i="2"/>
  <c r="Q545" i="2" s="1"/>
  <c r="K545" i="2"/>
  <c r="P545" i="2" s="1"/>
  <c r="J545" i="2"/>
  <c r="O545" i="2" s="1"/>
  <c r="M544" i="2"/>
  <c r="R544" i="2" s="1"/>
  <c r="L544" i="2"/>
  <c r="Q544" i="2" s="1"/>
  <c r="K544" i="2"/>
  <c r="P544" i="2" s="1"/>
  <c r="J544" i="2"/>
  <c r="O544" i="2" s="1"/>
  <c r="M543" i="2"/>
  <c r="R543" i="2" s="1"/>
  <c r="L543" i="2"/>
  <c r="Q543" i="2" s="1"/>
  <c r="K543" i="2"/>
  <c r="P543" i="2" s="1"/>
  <c r="J543" i="2"/>
  <c r="O543" i="2" s="1"/>
  <c r="M542" i="2"/>
  <c r="R542" i="2" s="1"/>
  <c r="L542" i="2"/>
  <c r="Q542" i="2" s="1"/>
  <c r="K542" i="2"/>
  <c r="P542" i="2" s="1"/>
  <c r="J542" i="2"/>
  <c r="O542" i="2" s="1"/>
  <c r="M541" i="2"/>
  <c r="R541" i="2" s="1"/>
  <c r="L541" i="2"/>
  <c r="Q541" i="2" s="1"/>
  <c r="K541" i="2"/>
  <c r="P541" i="2" s="1"/>
  <c r="J541" i="2"/>
  <c r="O541" i="2" s="1"/>
  <c r="M540" i="2"/>
  <c r="R540" i="2" s="1"/>
  <c r="L540" i="2"/>
  <c r="Q540" i="2" s="1"/>
  <c r="K540" i="2"/>
  <c r="P540" i="2" s="1"/>
  <c r="J540" i="2"/>
  <c r="O540" i="2" s="1"/>
  <c r="M539" i="2"/>
  <c r="R539" i="2" s="1"/>
  <c r="L539" i="2"/>
  <c r="Q539" i="2" s="1"/>
  <c r="K539" i="2"/>
  <c r="P539" i="2" s="1"/>
  <c r="J539" i="2"/>
  <c r="O539" i="2" s="1"/>
  <c r="M538" i="2"/>
  <c r="R538" i="2" s="1"/>
  <c r="L538" i="2"/>
  <c r="Q538" i="2" s="1"/>
  <c r="K538" i="2"/>
  <c r="P538" i="2" s="1"/>
  <c r="J538" i="2"/>
  <c r="O538" i="2" s="1"/>
  <c r="M537" i="2"/>
  <c r="R537" i="2" s="1"/>
  <c r="L537" i="2"/>
  <c r="Q537" i="2" s="1"/>
  <c r="K537" i="2"/>
  <c r="P537" i="2" s="1"/>
  <c r="J537" i="2"/>
  <c r="O537" i="2" s="1"/>
  <c r="M536" i="2"/>
  <c r="R536" i="2" s="1"/>
  <c r="L536" i="2"/>
  <c r="Q536" i="2" s="1"/>
  <c r="K536" i="2"/>
  <c r="P536" i="2" s="1"/>
  <c r="J536" i="2"/>
  <c r="O536" i="2" s="1"/>
  <c r="M535" i="2"/>
  <c r="R535" i="2" s="1"/>
  <c r="L535" i="2"/>
  <c r="Q535" i="2" s="1"/>
  <c r="K535" i="2"/>
  <c r="P535" i="2" s="1"/>
  <c r="J535" i="2"/>
  <c r="O535" i="2" s="1"/>
  <c r="M534" i="2"/>
  <c r="R534" i="2" s="1"/>
  <c r="L534" i="2"/>
  <c r="Q534" i="2" s="1"/>
  <c r="K534" i="2"/>
  <c r="P534" i="2" s="1"/>
  <c r="J534" i="2"/>
  <c r="O534" i="2" s="1"/>
  <c r="M533" i="2"/>
  <c r="R533" i="2" s="1"/>
  <c r="L533" i="2"/>
  <c r="Q533" i="2" s="1"/>
  <c r="K533" i="2"/>
  <c r="P533" i="2" s="1"/>
  <c r="J533" i="2"/>
  <c r="O533" i="2" s="1"/>
  <c r="M532" i="2"/>
  <c r="R532" i="2" s="1"/>
  <c r="L532" i="2"/>
  <c r="Q532" i="2" s="1"/>
  <c r="K532" i="2"/>
  <c r="P532" i="2" s="1"/>
  <c r="J532" i="2"/>
  <c r="O532" i="2" s="1"/>
  <c r="M531" i="2"/>
  <c r="R531" i="2" s="1"/>
  <c r="L531" i="2"/>
  <c r="Q531" i="2" s="1"/>
  <c r="K531" i="2"/>
  <c r="P531" i="2" s="1"/>
  <c r="J531" i="2"/>
  <c r="O531" i="2" s="1"/>
  <c r="M530" i="2"/>
  <c r="R530" i="2" s="1"/>
  <c r="L530" i="2"/>
  <c r="Q530" i="2" s="1"/>
  <c r="K530" i="2"/>
  <c r="P530" i="2" s="1"/>
  <c r="J530" i="2"/>
  <c r="O530" i="2" s="1"/>
  <c r="M529" i="2"/>
  <c r="R529" i="2" s="1"/>
  <c r="L529" i="2"/>
  <c r="Q529" i="2" s="1"/>
  <c r="K529" i="2"/>
  <c r="P529" i="2" s="1"/>
  <c r="J529" i="2"/>
  <c r="O529" i="2" s="1"/>
  <c r="M528" i="2"/>
  <c r="R528" i="2" s="1"/>
  <c r="L528" i="2"/>
  <c r="Q528" i="2" s="1"/>
  <c r="K528" i="2"/>
  <c r="P528" i="2" s="1"/>
  <c r="J528" i="2"/>
  <c r="O528" i="2" s="1"/>
  <c r="M527" i="2"/>
  <c r="R527" i="2" s="1"/>
  <c r="L527" i="2"/>
  <c r="Q527" i="2" s="1"/>
  <c r="K527" i="2"/>
  <c r="P527" i="2" s="1"/>
  <c r="J527" i="2"/>
  <c r="O527" i="2" s="1"/>
  <c r="M526" i="2"/>
  <c r="R526" i="2" s="1"/>
  <c r="L526" i="2"/>
  <c r="Q526" i="2" s="1"/>
  <c r="K526" i="2"/>
  <c r="P526" i="2" s="1"/>
  <c r="J526" i="2"/>
  <c r="O526" i="2" s="1"/>
  <c r="M525" i="2"/>
  <c r="R525" i="2" s="1"/>
  <c r="L525" i="2"/>
  <c r="Q525" i="2" s="1"/>
  <c r="K525" i="2"/>
  <c r="P525" i="2" s="1"/>
  <c r="J525" i="2"/>
  <c r="O525" i="2" s="1"/>
  <c r="M524" i="2"/>
  <c r="R524" i="2" s="1"/>
  <c r="L524" i="2"/>
  <c r="Q524" i="2" s="1"/>
  <c r="K524" i="2"/>
  <c r="P524" i="2" s="1"/>
  <c r="J524" i="2"/>
  <c r="O524" i="2" s="1"/>
  <c r="M523" i="2"/>
  <c r="R523" i="2" s="1"/>
  <c r="L523" i="2"/>
  <c r="Q523" i="2" s="1"/>
  <c r="K523" i="2"/>
  <c r="P523" i="2" s="1"/>
  <c r="J523" i="2"/>
  <c r="O523" i="2" s="1"/>
  <c r="M522" i="2"/>
  <c r="R522" i="2" s="1"/>
  <c r="L522" i="2"/>
  <c r="Q522" i="2" s="1"/>
  <c r="K522" i="2"/>
  <c r="P522" i="2" s="1"/>
  <c r="J522" i="2"/>
  <c r="O522" i="2" s="1"/>
  <c r="M521" i="2"/>
  <c r="R521" i="2" s="1"/>
  <c r="L521" i="2"/>
  <c r="Q521" i="2" s="1"/>
  <c r="K521" i="2"/>
  <c r="P521" i="2" s="1"/>
  <c r="J521" i="2"/>
  <c r="O521" i="2" s="1"/>
  <c r="M520" i="2"/>
  <c r="R520" i="2" s="1"/>
  <c r="L520" i="2"/>
  <c r="Q520" i="2" s="1"/>
  <c r="K520" i="2"/>
  <c r="P520" i="2" s="1"/>
  <c r="J520" i="2"/>
  <c r="O520" i="2" s="1"/>
  <c r="M519" i="2"/>
  <c r="R519" i="2" s="1"/>
  <c r="L519" i="2"/>
  <c r="Q519" i="2" s="1"/>
  <c r="K519" i="2"/>
  <c r="P519" i="2" s="1"/>
  <c r="J519" i="2"/>
  <c r="O519" i="2" s="1"/>
  <c r="M518" i="2"/>
  <c r="R518" i="2" s="1"/>
  <c r="L518" i="2"/>
  <c r="Q518" i="2" s="1"/>
  <c r="K518" i="2"/>
  <c r="P518" i="2" s="1"/>
  <c r="J518" i="2"/>
  <c r="O518" i="2" s="1"/>
  <c r="M517" i="2"/>
  <c r="R517" i="2" s="1"/>
  <c r="L517" i="2"/>
  <c r="Q517" i="2" s="1"/>
  <c r="K517" i="2"/>
  <c r="P517" i="2" s="1"/>
  <c r="J517" i="2"/>
  <c r="O517" i="2" s="1"/>
  <c r="M516" i="2"/>
  <c r="R516" i="2" s="1"/>
  <c r="L516" i="2"/>
  <c r="Q516" i="2" s="1"/>
  <c r="K516" i="2"/>
  <c r="P516" i="2" s="1"/>
  <c r="J516" i="2"/>
  <c r="O516" i="2" s="1"/>
  <c r="M515" i="2"/>
  <c r="R515" i="2" s="1"/>
  <c r="L515" i="2"/>
  <c r="Q515" i="2" s="1"/>
  <c r="K515" i="2"/>
  <c r="P515" i="2" s="1"/>
  <c r="J515" i="2"/>
  <c r="O515" i="2" s="1"/>
  <c r="M514" i="2"/>
  <c r="R514" i="2" s="1"/>
  <c r="L514" i="2"/>
  <c r="Q514" i="2" s="1"/>
  <c r="K514" i="2"/>
  <c r="P514" i="2" s="1"/>
  <c r="J514" i="2"/>
  <c r="O514" i="2" s="1"/>
  <c r="M513" i="2"/>
  <c r="R513" i="2" s="1"/>
  <c r="L513" i="2"/>
  <c r="Q513" i="2" s="1"/>
  <c r="K513" i="2"/>
  <c r="P513" i="2" s="1"/>
  <c r="J513" i="2"/>
  <c r="O513" i="2" s="1"/>
  <c r="M512" i="2"/>
  <c r="R512" i="2" s="1"/>
  <c r="L512" i="2"/>
  <c r="Q512" i="2" s="1"/>
  <c r="K512" i="2"/>
  <c r="P512" i="2" s="1"/>
  <c r="J512" i="2"/>
  <c r="O512" i="2" s="1"/>
  <c r="M511" i="2"/>
  <c r="R511" i="2" s="1"/>
  <c r="L511" i="2"/>
  <c r="Q511" i="2" s="1"/>
  <c r="K511" i="2"/>
  <c r="P511" i="2" s="1"/>
  <c r="J511" i="2"/>
  <c r="O511" i="2" s="1"/>
  <c r="M510" i="2"/>
  <c r="R510" i="2" s="1"/>
  <c r="L510" i="2"/>
  <c r="Q510" i="2" s="1"/>
  <c r="K510" i="2"/>
  <c r="P510" i="2" s="1"/>
  <c r="J510" i="2"/>
  <c r="O510" i="2" s="1"/>
  <c r="M509" i="2"/>
  <c r="R509" i="2" s="1"/>
  <c r="L509" i="2"/>
  <c r="Q509" i="2" s="1"/>
  <c r="K509" i="2"/>
  <c r="P509" i="2" s="1"/>
  <c r="J509" i="2"/>
  <c r="O509" i="2" s="1"/>
  <c r="M508" i="2"/>
  <c r="R508" i="2" s="1"/>
  <c r="L508" i="2"/>
  <c r="Q508" i="2" s="1"/>
  <c r="K508" i="2"/>
  <c r="P508" i="2" s="1"/>
  <c r="J508" i="2"/>
  <c r="O508" i="2" s="1"/>
  <c r="M507" i="2"/>
  <c r="R507" i="2" s="1"/>
  <c r="L507" i="2"/>
  <c r="Q507" i="2" s="1"/>
  <c r="K507" i="2"/>
  <c r="P507" i="2" s="1"/>
  <c r="J507" i="2"/>
  <c r="O507" i="2" s="1"/>
  <c r="M506" i="2"/>
  <c r="R506" i="2" s="1"/>
  <c r="L506" i="2"/>
  <c r="Q506" i="2" s="1"/>
  <c r="K506" i="2"/>
  <c r="P506" i="2" s="1"/>
  <c r="J506" i="2"/>
  <c r="O506" i="2" s="1"/>
  <c r="M505" i="2"/>
  <c r="R505" i="2" s="1"/>
  <c r="L505" i="2"/>
  <c r="Q505" i="2" s="1"/>
  <c r="K505" i="2"/>
  <c r="P505" i="2" s="1"/>
  <c r="J505" i="2"/>
  <c r="O505" i="2" s="1"/>
  <c r="M504" i="2"/>
  <c r="R504" i="2" s="1"/>
  <c r="L504" i="2"/>
  <c r="Q504" i="2" s="1"/>
  <c r="K504" i="2"/>
  <c r="P504" i="2" s="1"/>
  <c r="J504" i="2"/>
  <c r="O504" i="2" s="1"/>
  <c r="M503" i="2"/>
  <c r="R503" i="2" s="1"/>
  <c r="L503" i="2"/>
  <c r="Q503" i="2" s="1"/>
  <c r="K503" i="2"/>
  <c r="P503" i="2" s="1"/>
  <c r="J503" i="2"/>
  <c r="O503" i="2" s="1"/>
  <c r="M502" i="2"/>
  <c r="R502" i="2" s="1"/>
  <c r="L502" i="2"/>
  <c r="Q502" i="2" s="1"/>
  <c r="K502" i="2"/>
  <c r="P502" i="2" s="1"/>
  <c r="J502" i="2"/>
  <c r="O502" i="2" s="1"/>
  <c r="M501" i="2"/>
  <c r="R501" i="2" s="1"/>
  <c r="L501" i="2"/>
  <c r="Q501" i="2" s="1"/>
  <c r="K501" i="2"/>
  <c r="P501" i="2" s="1"/>
  <c r="J501" i="2"/>
  <c r="O501" i="2" s="1"/>
  <c r="M500" i="2"/>
  <c r="R500" i="2" s="1"/>
  <c r="L500" i="2"/>
  <c r="Q500" i="2" s="1"/>
  <c r="K500" i="2"/>
  <c r="P500" i="2" s="1"/>
  <c r="J500" i="2"/>
  <c r="O500" i="2" s="1"/>
  <c r="M499" i="2"/>
  <c r="R499" i="2" s="1"/>
  <c r="L499" i="2"/>
  <c r="Q499" i="2" s="1"/>
  <c r="K499" i="2"/>
  <c r="P499" i="2" s="1"/>
  <c r="J499" i="2"/>
  <c r="O499" i="2" s="1"/>
  <c r="M498" i="2"/>
  <c r="R498" i="2" s="1"/>
  <c r="L498" i="2"/>
  <c r="Q498" i="2" s="1"/>
  <c r="K498" i="2"/>
  <c r="P498" i="2" s="1"/>
  <c r="J498" i="2"/>
  <c r="O498" i="2" s="1"/>
  <c r="M497" i="2"/>
  <c r="R497" i="2" s="1"/>
  <c r="L497" i="2"/>
  <c r="Q497" i="2" s="1"/>
  <c r="K497" i="2"/>
  <c r="P497" i="2" s="1"/>
  <c r="J497" i="2"/>
  <c r="O497" i="2" s="1"/>
  <c r="M496" i="2"/>
  <c r="R496" i="2" s="1"/>
  <c r="L496" i="2"/>
  <c r="Q496" i="2" s="1"/>
  <c r="K496" i="2"/>
  <c r="P496" i="2" s="1"/>
  <c r="J496" i="2"/>
  <c r="O496" i="2" s="1"/>
  <c r="M495" i="2"/>
  <c r="R495" i="2" s="1"/>
  <c r="L495" i="2"/>
  <c r="Q495" i="2" s="1"/>
  <c r="K495" i="2"/>
  <c r="P495" i="2" s="1"/>
  <c r="J495" i="2"/>
  <c r="O495" i="2" s="1"/>
  <c r="M494" i="2"/>
  <c r="R494" i="2" s="1"/>
  <c r="L494" i="2"/>
  <c r="Q494" i="2" s="1"/>
  <c r="K494" i="2"/>
  <c r="P494" i="2" s="1"/>
  <c r="J494" i="2"/>
  <c r="O494" i="2" s="1"/>
  <c r="M493" i="2"/>
  <c r="R493" i="2" s="1"/>
  <c r="L493" i="2"/>
  <c r="Q493" i="2" s="1"/>
  <c r="K493" i="2"/>
  <c r="P493" i="2" s="1"/>
  <c r="J493" i="2"/>
  <c r="O493" i="2" s="1"/>
  <c r="M492" i="2"/>
  <c r="R492" i="2" s="1"/>
  <c r="L492" i="2"/>
  <c r="Q492" i="2" s="1"/>
  <c r="K492" i="2"/>
  <c r="P492" i="2" s="1"/>
  <c r="J492" i="2"/>
  <c r="O492" i="2" s="1"/>
  <c r="M491" i="2"/>
  <c r="R491" i="2" s="1"/>
  <c r="L491" i="2"/>
  <c r="Q491" i="2" s="1"/>
  <c r="K491" i="2"/>
  <c r="P491" i="2" s="1"/>
  <c r="J491" i="2"/>
  <c r="O491" i="2" s="1"/>
  <c r="M490" i="2"/>
  <c r="R490" i="2" s="1"/>
  <c r="L490" i="2"/>
  <c r="Q490" i="2" s="1"/>
  <c r="K490" i="2"/>
  <c r="P490" i="2" s="1"/>
  <c r="J490" i="2"/>
  <c r="O490" i="2" s="1"/>
  <c r="R489" i="2"/>
  <c r="M489" i="2"/>
  <c r="L489" i="2"/>
  <c r="Q489" i="2" s="1"/>
  <c r="K489" i="2"/>
  <c r="P489" i="2" s="1"/>
  <c r="J489" i="2"/>
  <c r="O489" i="2" s="1"/>
  <c r="M488" i="2"/>
  <c r="R488" i="2" s="1"/>
  <c r="L488" i="2"/>
  <c r="Q488" i="2" s="1"/>
  <c r="K488" i="2"/>
  <c r="P488" i="2" s="1"/>
  <c r="J488" i="2"/>
  <c r="O488" i="2" s="1"/>
  <c r="M487" i="2"/>
  <c r="R487" i="2" s="1"/>
  <c r="L487" i="2"/>
  <c r="Q487" i="2" s="1"/>
  <c r="K487" i="2"/>
  <c r="P487" i="2" s="1"/>
  <c r="J487" i="2"/>
  <c r="O487" i="2" s="1"/>
  <c r="M486" i="2"/>
  <c r="R486" i="2" s="1"/>
  <c r="L486" i="2"/>
  <c r="Q486" i="2" s="1"/>
  <c r="K486" i="2"/>
  <c r="P486" i="2" s="1"/>
  <c r="J486" i="2"/>
  <c r="O486" i="2" s="1"/>
  <c r="M485" i="2"/>
  <c r="R485" i="2" s="1"/>
  <c r="L485" i="2"/>
  <c r="Q485" i="2" s="1"/>
  <c r="K485" i="2"/>
  <c r="P485" i="2" s="1"/>
  <c r="J485" i="2"/>
  <c r="O485" i="2" s="1"/>
  <c r="M484" i="2"/>
  <c r="R484" i="2" s="1"/>
  <c r="L484" i="2"/>
  <c r="Q484" i="2" s="1"/>
  <c r="K484" i="2"/>
  <c r="P484" i="2" s="1"/>
  <c r="J484" i="2"/>
  <c r="O484" i="2" s="1"/>
  <c r="M483" i="2"/>
  <c r="R483" i="2" s="1"/>
  <c r="L483" i="2"/>
  <c r="Q483" i="2" s="1"/>
  <c r="K483" i="2"/>
  <c r="P483" i="2" s="1"/>
  <c r="J483" i="2"/>
  <c r="O483" i="2" s="1"/>
  <c r="M482" i="2"/>
  <c r="R482" i="2" s="1"/>
  <c r="L482" i="2"/>
  <c r="Q482" i="2" s="1"/>
  <c r="K482" i="2"/>
  <c r="P482" i="2" s="1"/>
  <c r="J482" i="2"/>
  <c r="O482" i="2" s="1"/>
  <c r="M481" i="2"/>
  <c r="R481" i="2" s="1"/>
  <c r="L481" i="2"/>
  <c r="Q481" i="2" s="1"/>
  <c r="K481" i="2"/>
  <c r="P481" i="2" s="1"/>
  <c r="J481" i="2"/>
  <c r="O481" i="2" s="1"/>
  <c r="M480" i="2"/>
  <c r="R480" i="2" s="1"/>
  <c r="L480" i="2"/>
  <c r="Q480" i="2" s="1"/>
  <c r="K480" i="2"/>
  <c r="P480" i="2" s="1"/>
  <c r="J480" i="2"/>
  <c r="O480" i="2" s="1"/>
  <c r="M479" i="2"/>
  <c r="R479" i="2" s="1"/>
  <c r="L479" i="2"/>
  <c r="Q479" i="2" s="1"/>
  <c r="K479" i="2"/>
  <c r="P479" i="2" s="1"/>
  <c r="J479" i="2"/>
  <c r="O479" i="2" s="1"/>
  <c r="M478" i="2"/>
  <c r="R478" i="2" s="1"/>
  <c r="L478" i="2"/>
  <c r="Q478" i="2" s="1"/>
  <c r="K478" i="2"/>
  <c r="P478" i="2" s="1"/>
  <c r="J478" i="2"/>
  <c r="O478" i="2" s="1"/>
  <c r="M477" i="2"/>
  <c r="R477" i="2" s="1"/>
  <c r="L477" i="2"/>
  <c r="Q477" i="2" s="1"/>
  <c r="K477" i="2"/>
  <c r="P477" i="2" s="1"/>
  <c r="J477" i="2"/>
  <c r="O477" i="2" s="1"/>
  <c r="M476" i="2"/>
  <c r="R476" i="2" s="1"/>
  <c r="L476" i="2"/>
  <c r="Q476" i="2" s="1"/>
  <c r="K476" i="2"/>
  <c r="P476" i="2" s="1"/>
  <c r="J476" i="2"/>
  <c r="O476" i="2" s="1"/>
  <c r="M475" i="2"/>
  <c r="R475" i="2" s="1"/>
  <c r="L475" i="2"/>
  <c r="Q475" i="2" s="1"/>
  <c r="K475" i="2"/>
  <c r="P475" i="2" s="1"/>
  <c r="J475" i="2"/>
  <c r="O475" i="2" s="1"/>
  <c r="M474" i="2"/>
  <c r="R474" i="2" s="1"/>
  <c r="L474" i="2"/>
  <c r="Q474" i="2" s="1"/>
  <c r="K474" i="2"/>
  <c r="P474" i="2" s="1"/>
  <c r="J474" i="2"/>
  <c r="O474" i="2" s="1"/>
  <c r="M473" i="2"/>
  <c r="R473" i="2" s="1"/>
  <c r="L473" i="2"/>
  <c r="Q473" i="2" s="1"/>
  <c r="K473" i="2"/>
  <c r="P473" i="2" s="1"/>
  <c r="J473" i="2"/>
  <c r="O473" i="2" s="1"/>
  <c r="M472" i="2"/>
  <c r="R472" i="2" s="1"/>
  <c r="L472" i="2"/>
  <c r="Q472" i="2" s="1"/>
  <c r="K472" i="2"/>
  <c r="P472" i="2" s="1"/>
  <c r="J472" i="2"/>
  <c r="O472" i="2" s="1"/>
  <c r="M471" i="2"/>
  <c r="R471" i="2" s="1"/>
  <c r="L471" i="2"/>
  <c r="Q471" i="2" s="1"/>
  <c r="K471" i="2"/>
  <c r="P471" i="2" s="1"/>
  <c r="J471" i="2"/>
  <c r="O471" i="2" s="1"/>
  <c r="M470" i="2"/>
  <c r="R470" i="2" s="1"/>
  <c r="L470" i="2"/>
  <c r="Q470" i="2" s="1"/>
  <c r="K470" i="2"/>
  <c r="P470" i="2" s="1"/>
  <c r="J470" i="2"/>
  <c r="O470" i="2" s="1"/>
  <c r="M469" i="2"/>
  <c r="R469" i="2" s="1"/>
  <c r="L469" i="2"/>
  <c r="Q469" i="2" s="1"/>
  <c r="K469" i="2"/>
  <c r="P469" i="2" s="1"/>
  <c r="J469" i="2"/>
  <c r="O469" i="2" s="1"/>
  <c r="M468" i="2"/>
  <c r="R468" i="2" s="1"/>
  <c r="L468" i="2"/>
  <c r="Q468" i="2" s="1"/>
  <c r="K468" i="2"/>
  <c r="P468" i="2" s="1"/>
  <c r="J468" i="2"/>
  <c r="O468" i="2" s="1"/>
  <c r="M467" i="2"/>
  <c r="R467" i="2" s="1"/>
  <c r="L467" i="2"/>
  <c r="Q467" i="2" s="1"/>
  <c r="K467" i="2"/>
  <c r="P467" i="2" s="1"/>
  <c r="J467" i="2"/>
  <c r="O467" i="2" s="1"/>
  <c r="M466" i="2"/>
  <c r="R466" i="2" s="1"/>
  <c r="L466" i="2"/>
  <c r="Q466" i="2" s="1"/>
  <c r="K466" i="2"/>
  <c r="P466" i="2" s="1"/>
  <c r="J466" i="2"/>
  <c r="O466" i="2" s="1"/>
  <c r="M465" i="2"/>
  <c r="R465" i="2" s="1"/>
  <c r="L465" i="2"/>
  <c r="Q465" i="2" s="1"/>
  <c r="K465" i="2"/>
  <c r="P465" i="2" s="1"/>
  <c r="J465" i="2"/>
  <c r="O465" i="2" s="1"/>
  <c r="M464" i="2"/>
  <c r="R464" i="2" s="1"/>
  <c r="L464" i="2"/>
  <c r="Q464" i="2" s="1"/>
  <c r="K464" i="2"/>
  <c r="P464" i="2" s="1"/>
  <c r="J464" i="2"/>
  <c r="O464" i="2" s="1"/>
  <c r="M463" i="2"/>
  <c r="R463" i="2" s="1"/>
  <c r="L463" i="2"/>
  <c r="Q463" i="2" s="1"/>
  <c r="K463" i="2"/>
  <c r="P463" i="2" s="1"/>
  <c r="J463" i="2"/>
  <c r="O463" i="2" s="1"/>
  <c r="M462" i="2"/>
  <c r="R462" i="2" s="1"/>
  <c r="L462" i="2"/>
  <c r="Q462" i="2" s="1"/>
  <c r="K462" i="2"/>
  <c r="P462" i="2" s="1"/>
  <c r="J462" i="2"/>
  <c r="O462" i="2" s="1"/>
  <c r="M461" i="2"/>
  <c r="R461" i="2" s="1"/>
  <c r="L461" i="2"/>
  <c r="Q461" i="2" s="1"/>
  <c r="K461" i="2"/>
  <c r="P461" i="2" s="1"/>
  <c r="J461" i="2"/>
  <c r="O461" i="2" s="1"/>
  <c r="M460" i="2"/>
  <c r="R460" i="2" s="1"/>
  <c r="L460" i="2"/>
  <c r="Q460" i="2" s="1"/>
  <c r="K460" i="2"/>
  <c r="P460" i="2" s="1"/>
  <c r="J460" i="2"/>
  <c r="O460" i="2" s="1"/>
  <c r="M459" i="2"/>
  <c r="R459" i="2" s="1"/>
  <c r="L459" i="2"/>
  <c r="Q459" i="2" s="1"/>
  <c r="K459" i="2"/>
  <c r="P459" i="2" s="1"/>
  <c r="J459" i="2"/>
  <c r="O459" i="2" s="1"/>
  <c r="M458" i="2"/>
  <c r="R458" i="2" s="1"/>
  <c r="L458" i="2"/>
  <c r="Q458" i="2" s="1"/>
  <c r="K458" i="2"/>
  <c r="P458" i="2" s="1"/>
  <c r="J458" i="2"/>
  <c r="O458" i="2" s="1"/>
  <c r="M457" i="2"/>
  <c r="R457" i="2" s="1"/>
  <c r="L457" i="2"/>
  <c r="Q457" i="2" s="1"/>
  <c r="K457" i="2"/>
  <c r="P457" i="2" s="1"/>
  <c r="J457" i="2"/>
  <c r="O457" i="2" s="1"/>
  <c r="M456" i="2"/>
  <c r="R456" i="2" s="1"/>
  <c r="L456" i="2"/>
  <c r="Q456" i="2" s="1"/>
  <c r="K456" i="2"/>
  <c r="P456" i="2" s="1"/>
  <c r="J456" i="2"/>
  <c r="O456" i="2" s="1"/>
  <c r="M455" i="2"/>
  <c r="R455" i="2" s="1"/>
  <c r="L455" i="2"/>
  <c r="Q455" i="2" s="1"/>
  <c r="K455" i="2"/>
  <c r="P455" i="2" s="1"/>
  <c r="J455" i="2"/>
  <c r="O455" i="2" s="1"/>
  <c r="M454" i="2"/>
  <c r="R454" i="2" s="1"/>
  <c r="L454" i="2"/>
  <c r="Q454" i="2" s="1"/>
  <c r="K454" i="2"/>
  <c r="P454" i="2" s="1"/>
  <c r="J454" i="2"/>
  <c r="O454" i="2" s="1"/>
  <c r="M453" i="2"/>
  <c r="R453" i="2" s="1"/>
  <c r="L453" i="2"/>
  <c r="Q453" i="2" s="1"/>
  <c r="K453" i="2"/>
  <c r="P453" i="2" s="1"/>
  <c r="J453" i="2"/>
  <c r="O453" i="2" s="1"/>
  <c r="M452" i="2"/>
  <c r="R452" i="2" s="1"/>
  <c r="L452" i="2"/>
  <c r="Q452" i="2" s="1"/>
  <c r="K452" i="2"/>
  <c r="P452" i="2" s="1"/>
  <c r="J452" i="2"/>
  <c r="O452" i="2" s="1"/>
  <c r="M451" i="2"/>
  <c r="R451" i="2" s="1"/>
  <c r="L451" i="2"/>
  <c r="Q451" i="2" s="1"/>
  <c r="K451" i="2"/>
  <c r="P451" i="2" s="1"/>
  <c r="J451" i="2"/>
  <c r="O451" i="2" s="1"/>
  <c r="M450" i="2"/>
  <c r="R450" i="2" s="1"/>
  <c r="L450" i="2"/>
  <c r="Q450" i="2" s="1"/>
  <c r="K450" i="2"/>
  <c r="P450" i="2" s="1"/>
  <c r="J450" i="2"/>
  <c r="O450" i="2" s="1"/>
  <c r="M449" i="2"/>
  <c r="R449" i="2" s="1"/>
  <c r="L449" i="2"/>
  <c r="Q449" i="2" s="1"/>
  <c r="K449" i="2"/>
  <c r="P449" i="2" s="1"/>
  <c r="J449" i="2"/>
  <c r="O449" i="2" s="1"/>
  <c r="M448" i="2"/>
  <c r="R448" i="2" s="1"/>
  <c r="L448" i="2"/>
  <c r="Q448" i="2" s="1"/>
  <c r="K448" i="2"/>
  <c r="P448" i="2" s="1"/>
  <c r="J448" i="2"/>
  <c r="O448" i="2" s="1"/>
  <c r="M447" i="2"/>
  <c r="R447" i="2" s="1"/>
  <c r="L447" i="2"/>
  <c r="Q447" i="2" s="1"/>
  <c r="K447" i="2"/>
  <c r="P447" i="2" s="1"/>
  <c r="J447" i="2"/>
  <c r="O447" i="2" s="1"/>
  <c r="M446" i="2"/>
  <c r="R446" i="2" s="1"/>
  <c r="L446" i="2"/>
  <c r="Q446" i="2" s="1"/>
  <c r="K446" i="2"/>
  <c r="P446" i="2" s="1"/>
  <c r="J446" i="2"/>
  <c r="O446" i="2" s="1"/>
  <c r="M445" i="2"/>
  <c r="R445" i="2" s="1"/>
  <c r="L445" i="2"/>
  <c r="Q445" i="2" s="1"/>
  <c r="K445" i="2"/>
  <c r="P445" i="2" s="1"/>
  <c r="J445" i="2"/>
  <c r="O445" i="2" s="1"/>
  <c r="M444" i="2"/>
  <c r="R444" i="2" s="1"/>
  <c r="L444" i="2"/>
  <c r="Q444" i="2" s="1"/>
  <c r="K444" i="2"/>
  <c r="P444" i="2" s="1"/>
  <c r="J444" i="2"/>
  <c r="O444" i="2" s="1"/>
  <c r="M443" i="2"/>
  <c r="R443" i="2" s="1"/>
  <c r="L443" i="2"/>
  <c r="Q443" i="2" s="1"/>
  <c r="K443" i="2"/>
  <c r="P443" i="2" s="1"/>
  <c r="J443" i="2"/>
  <c r="O443" i="2" s="1"/>
  <c r="M442" i="2"/>
  <c r="R442" i="2" s="1"/>
  <c r="L442" i="2"/>
  <c r="Q442" i="2" s="1"/>
  <c r="K442" i="2"/>
  <c r="P442" i="2" s="1"/>
  <c r="J442" i="2"/>
  <c r="O442" i="2" s="1"/>
  <c r="M441" i="2"/>
  <c r="R441" i="2" s="1"/>
  <c r="L441" i="2"/>
  <c r="Q441" i="2" s="1"/>
  <c r="K441" i="2"/>
  <c r="P441" i="2" s="1"/>
  <c r="J441" i="2"/>
  <c r="O441" i="2" s="1"/>
  <c r="M440" i="2"/>
  <c r="R440" i="2" s="1"/>
  <c r="L440" i="2"/>
  <c r="Q440" i="2" s="1"/>
  <c r="K440" i="2"/>
  <c r="P440" i="2" s="1"/>
  <c r="J440" i="2"/>
  <c r="O440" i="2" s="1"/>
  <c r="M439" i="2"/>
  <c r="R439" i="2" s="1"/>
  <c r="L439" i="2"/>
  <c r="Q439" i="2" s="1"/>
  <c r="K439" i="2"/>
  <c r="P439" i="2" s="1"/>
  <c r="J439" i="2"/>
  <c r="O439" i="2" s="1"/>
  <c r="M438" i="2"/>
  <c r="R438" i="2" s="1"/>
  <c r="L438" i="2"/>
  <c r="Q438" i="2" s="1"/>
  <c r="K438" i="2"/>
  <c r="P438" i="2" s="1"/>
  <c r="J438" i="2"/>
  <c r="O438" i="2" s="1"/>
  <c r="M437" i="2"/>
  <c r="R437" i="2" s="1"/>
  <c r="L437" i="2"/>
  <c r="Q437" i="2" s="1"/>
  <c r="K437" i="2"/>
  <c r="P437" i="2" s="1"/>
  <c r="J437" i="2"/>
  <c r="O437" i="2" s="1"/>
  <c r="M436" i="2"/>
  <c r="R436" i="2" s="1"/>
  <c r="L436" i="2"/>
  <c r="Q436" i="2" s="1"/>
  <c r="K436" i="2"/>
  <c r="P436" i="2" s="1"/>
  <c r="J436" i="2"/>
  <c r="O436" i="2" s="1"/>
  <c r="M435" i="2"/>
  <c r="R435" i="2" s="1"/>
  <c r="L435" i="2"/>
  <c r="Q435" i="2" s="1"/>
  <c r="K435" i="2"/>
  <c r="P435" i="2" s="1"/>
  <c r="J435" i="2"/>
  <c r="O435" i="2" s="1"/>
  <c r="M434" i="2"/>
  <c r="R434" i="2" s="1"/>
  <c r="L434" i="2"/>
  <c r="Q434" i="2" s="1"/>
  <c r="K434" i="2"/>
  <c r="P434" i="2" s="1"/>
  <c r="J434" i="2"/>
  <c r="O434" i="2" s="1"/>
  <c r="M433" i="2"/>
  <c r="R433" i="2" s="1"/>
  <c r="L433" i="2"/>
  <c r="Q433" i="2" s="1"/>
  <c r="K433" i="2"/>
  <c r="P433" i="2" s="1"/>
  <c r="J433" i="2"/>
  <c r="O433" i="2" s="1"/>
  <c r="M432" i="2"/>
  <c r="R432" i="2" s="1"/>
  <c r="L432" i="2"/>
  <c r="Q432" i="2" s="1"/>
  <c r="K432" i="2"/>
  <c r="P432" i="2" s="1"/>
  <c r="J432" i="2"/>
  <c r="O432" i="2" s="1"/>
  <c r="M431" i="2"/>
  <c r="R431" i="2" s="1"/>
  <c r="L431" i="2"/>
  <c r="Q431" i="2" s="1"/>
  <c r="K431" i="2"/>
  <c r="P431" i="2" s="1"/>
  <c r="J431" i="2"/>
  <c r="O431" i="2" s="1"/>
  <c r="M430" i="2"/>
  <c r="R430" i="2" s="1"/>
  <c r="L430" i="2"/>
  <c r="Q430" i="2" s="1"/>
  <c r="K430" i="2"/>
  <c r="P430" i="2" s="1"/>
  <c r="J430" i="2"/>
  <c r="O430" i="2" s="1"/>
  <c r="M429" i="2"/>
  <c r="R429" i="2" s="1"/>
  <c r="L429" i="2"/>
  <c r="Q429" i="2" s="1"/>
  <c r="K429" i="2"/>
  <c r="P429" i="2" s="1"/>
  <c r="J429" i="2"/>
  <c r="O429" i="2" s="1"/>
  <c r="M428" i="2"/>
  <c r="R428" i="2" s="1"/>
  <c r="L428" i="2"/>
  <c r="Q428" i="2" s="1"/>
  <c r="K428" i="2"/>
  <c r="P428" i="2" s="1"/>
  <c r="J428" i="2"/>
  <c r="O428" i="2" s="1"/>
  <c r="M427" i="2"/>
  <c r="R427" i="2" s="1"/>
  <c r="L427" i="2"/>
  <c r="Q427" i="2" s="1"/>
  <c r="K427" i="2"/>
  <c r="P427" i="2" s="1"/>
  <c r="J427" i="2"/>
  <c r="O427" i="2" s="1"/>
  <c r="M426" i="2"/>
  <c r="R426" i="2" s="1"/>
  <c r="L426" i="2"/>
  <c r="Q426" i="2" s="1"/>
  <c r="K426" i="2"/>
  <c r="P426" i="2" s="1"/>
  <c r="J426" i="2"/>
  <c r="O426" i="2" s="1"/>
  <c r="M425" i="2"/>
  <c r="R425" i="2" s="1"/>
  <c r="L425" i="2"/>
  <c r="Q425" i="2" s="1"/>
  <c r="K425" i="2"/>
  <c r="P425" i="2" s="1"/>
  <c r="J425" i="2"/>
  <c r="O425" i="2" s="1"/>
  <c r="M424" i="2"/>
  <c r="R424" i="2" s="1"/>
  <c r="L424" i="2"/>
  <c r="Q424" i="2" s="1"/>
  <c r="K424" i="2"/>
  <c r="P424" i="2" s="1"/>
  <c r="J424" i="2"/>
  <c r="O424" i="2" s="1"/>
  <c r="M423" i="2"/>
  <c r="R423" i="2" s="1"/>
  <c r="L423" i="2"/>
  <c r="Q423" i="2" s="1"/>
  <c r="K423" i="2"/>
  <c r="P423" i="2" s="1"/>
  <c r="J423" i="2"/>
  <c r="O423" i="2" s="1"/>
  <c r="M422" i="2"/>
  <c r="R422" i="2" s="1"/>
  <c r="L422" i="2"/>
  <c r="Q422" i="2" s="1"/>
  <c r="K422" i="2"/>
  <c r="P422" i="2" s="1"/>
  <c r="J422" i="2"/>
  <c r="O422" i="2" s="1"/>
  <c r="M421" i="2"/>
  <c r="R421" i="2" s="1"/>
  <c r="L421" i="2"/>
  <c r="Q421" i="2" s="1"/>
  <c r="K421" i="2"/>
  <c r="P421" i="2" s="1"/>
  <c r="J421" i="2"/>
  <c r="O421" i="2" s="1"/>
  <c r="M420" i="2"/>
  <c r="R420" i="2" s="1"/>
  <c r="L420" i="2"/>
  <c r="Q420" i="2" s="1"/>
  <c r="K420" i="2"/>
  <c r="P420" i="2" s="1"/>
  <c r="J420" i="2"/>
  <c r="O420" i="2" s="1"/>
  <c r="M419" i="2"/>
  <c r="R419" i="2" s="1"/>
  <c r="L419" i="2"/>
  <c r="Q419" i="2" s="1"/>
  <c r="K419" i="2"/>
  <c r="P419" i="2" s="1"/>
  <c r="J419" i="2"/>
  <c r="O419" i="2" s="1"/>
  <c r="M418" i="2"/>
  <c r="R418" i="2" s="1"/>
  <c r="L418" i="2"/>
  <c r="Q418" i="2" s="1"/>
  <c r="K418" i="2"/>
  <c r="P418" i="2" s="1"/>
  <c r="J418" i="2"/>
  <c r="O418" i="2" s="1"/>
  <c r="M417" i="2"/>
  <c r="R417" i="2" s="1"/>
  <c r="L417" i="2"/>
  <c r="Q417" i="2" s="1"/>
  <c r="K417" i="2"/>
  <c r="P417" i="2" s="1"/>
  <c r="J417" i="2"/>
  <c r="O417" i="2" s="1"/>
  <c r="M416" i="2"/>
  <c r="R416" i="2" s="1"/>
  <c r="L416" i="2"/>
  <c r="Q416" i="2" s="1"/>
  <c r="K416" i="2"/>
  <c r="P416" i="2" s="1"/>
  <c r="J416" i="2"/>
  <c r="O416" i="2" s="1"/>
  <c r="M415" i="2"/>
  <c r="R415" i="2" s="1"/>
  <c r="L415" i="2"/>
  <c r="Q415" i="2" s="1"/>
  <c r="K415" i="2"/>
  <c r="P415" i="2" s="1"/>
  <c r="J415" i="2"/>
  <c r="O415" i="2" s="1"/>
  <c r="M414" i="2"/>
  <c r="R414" i="2" s="1"/>
  <c r="L414" i="2"/>
  <c r="Q414" i="2" s="1"/>
  <c r="K414" i="2"/>
  <c r="P414" i="2" s="1"/>
  <c r="J414" i="2"/>
  <c r="O414" i="2" s="1"/>
  <c r="P413" i="2"/>
  <c r="M413" i="2"/>
  <c r="R413" i="2" s="1"/>
  <c r="L413" i="2"/>
  <c r="Q413" i="2" s="1"/>
  <c r="K413" i="2"/>
  <c r="J413" i="2"/>
  <c r="O413" i="2" s="1"/>
  <c r="M412" i="2"/>
  <c r="R412" i="2" s="1"/>
  <c r="L412" i="2"/>
  <c r="Q412" i="2" s="1"/>
  <c r="K412" i="2"/>
  <c r="P412" i="2" s="1"/>
  <c r="J412" i="2"/>
  <c r="O412" i="2" s="1"/>
  <c r="M411" i="2"/>
  <c r="R411" i="2" s="1"/>
  <c r="L411" i="2"/>
  <c r="Q411" i="2" s="1"/>
  <c r="K411" i="2"/>
  <c r="P411" i="2" s="1"/>
  <c r="J411" i="2"/>
  <c r="O411" i="2" s="1"/>
  <c r="M410" i="2"/>
  <c r="R410" i="2" s="1"/>
  <c r="L410" i="2"/>
  <c r="Q410" i="2" s="1"/>
  <c r="K410" i="2"/>
  <c r="P410" i="2" s="1"/>
  <c r="J410" i="2"/>
  <c r="O410" i="2" s="1"/>
  <c r="M409" i="2"/>
  <c r="R409" i="2" s="1"/>
  <c r="L409" i="2"/>
  <c r="Q409" i="2" s="1"/>
  <c r="K409" i="2"/>
  <c r="P409" i="2" s="1"/>
  <c r="J409" i="2"/>
  <c r="O409" i="2" s="1"/>
  <c r="M408" i="2"/>
  <c r="R408" i="2" s="1"/>
  <c r="L408" i="2"/>
  <c r="Q408" i="2" s="1"/>
  <c r="K408" i="2"/>
  <c r="P408" i="2" s="1"/>
  <c r="J408" i="2"/>
  <c r="O408" i="2" s="1"/>
  <c r="M407" i="2"/>
  <c r="R407" i="2" s="1"/>
  <c r="L407" i="2"/>
  <c r="Q407" i="2" s="1"/>
  <c r="K407" i="2"/>
  <c r="P407" i="2" s="1"/>
  <c r="J407" i="2"/>
  <c r="O407" i="2" s="1"/>
  <c r="M406" i="2"/>
  <c r="R406" i="2" s="1"/>
  <c r="L406" i="2"/>
  <c r="Q406" i="2" s="1"/>
  <c r="K406" i="2"/>
  <c r="P406" i="2" s="1"/>
  <c r="J406" i="2"/>
  <c r="O406" i="2" s="1"/>
  <c r="M405" i="2"/>
  <c r="R405" i="2" s="1"/>
  <c r="L405" i="2"/>
  <c r="Q405" i="2" s="1"/>
  <c r="K405" i="2"/>
  <c r="P405" i="2" s="1"/>
  <c r="J405" i="2"/>
  <c r="O405" i="2" s="1"/>
  <c r="M404" i="2"/>
  <c r="R404" i="2" s="1"/>
  <c r="L404" i="2"/>
  <c r="Q404" i="2" s="1"/>
  <c r="K404" i="2"/>
  <c r="P404" i="2" s="1"/>
  <c r="J404" i="2"/>
  <c r="O404" i="2" s="1"/>
  <c r="M403" i="2"/>
  <c r="R403" i="2" s="1"/>
  <c r="L403" i="2"/>
  <c r="Q403" i="2" s="1"/>
  <c r="K403" i="2"/>
  <c r="P403" i="2" s="1"/>
  <c r="J403" i="2"/>
  <c r="O403" i="2" s="1"/>
  <c r="M402" i="2"/>
  <c r="R402" i="2" s="1"/>
  <c r="L402" i="2"/>
  <c r="Q402" i="2" s="1"/>
  <c r="K402" i="2"/>
  <c r="P402" i="2" s="1"/>
  <c r="J402" i="2"/>
  <c r="O402" i="2" s="1"/>
  <c r="M401" i="2"/>
  <c r="R401" i="2" s="1"/>
  <c r="L401" i="2"/>
  <c r="Q401" i="2" s="1"/>
  <c r="K401" i="2"/>
  <c r="P401" i="2" s="1"/>
  <c r="J401" i="2"/>
  <c r="O401" i="2" s="1"/>
  <c r="M400" i="2"/>
  <c r="R400" i="2" s="1"/>
  <c r="L400" i="2"/>
  <c r="Q400" i="2" s="1"/>
  <c r="K400" i="2"/>
  <c r="P400" i="2" s="1"/>
  <c r="J400" i="2"/>
  <c r="O400" i="2" s="1"/>
  <c r="M399" i="2"/>
  <c r="R399" i="2" s="1"/>
  <c r="L399" i="2"/>
  <c r="Q399" i="2" s="1"/>
  <c r="K399" i="2"/>
  <c r="P399" i="2" s="1"/>
  <c r="J399" i="2"/>
  <c r="O399" i="2" s="1"/>
  <c r="M398" i="2"/>
  <c r="R398" i="2" s="1"/>
  <c r="L398" i="2"/>
  <c r="Q398" i="2" s="1"/>
  <c r="K398" i="2"/>
  <c r="P398" i="2" s="1"/>
  <c r="J398" i="2"/>
  <c r="O398" i="2" s="1"/>
  <c r="M397" i="2"/>
  <c r="R397" i="2" s="1"/>
  <c r="L397" i="2"/>
  <c r="Q397" i="2" s="1"/>
  <c r="K397" i="2"/>
  <c r="P397" i="2" s="1"/>
  <c r="J397" i="2"/>
  <c r="O397" i="2" s="1"/>
  <c r="M396" i="2"/>
  <c r="R396" i="2" s="1"/>
  <c r="L396" i="2"/>
  <c r="Q396" i="2" s="1"/>
  <c r="K396" i="2"/>
  <c r="P396" i="2" s="1"/>
  <c r="J396" i="2"/>
  <c r="O396" i="2" s="1"/>
  <c r="M395" i="2"/>
  <c r="R395" i="2" s="1"/>
  <c r="L395" i="2"/>
  <c r="Q395" i="2" s="1"/>
  <c r="K395" i="2"/>
  <c r="P395" i="2" s="1"/>
  <c r="J395" i="2"/>
  <c r="O395" i="2" s="1"/>
  <c r="M394" i="2"/>
  <c r="R394" i="2" s="1"/>
  <c r="L394" i="2"/>
  <c r="Q394" i="2" s="1"/>
  <c r="K394" i="2"/>
  <c r="P394" i="2" s="1"/>
  <c r="J394" i="2"/>
  <c r="O394" i="2" s="1"/>
  <c r="M393" i="2"/>
  <c r="R393" i="2" s="1"/>
  <c r="L393" i="2"/>
  <c r="Q393" i="2" s="1"/>
  <c r="K393" i="2"/>
  <c r="P393" i="2" s="1"/>
  <c r="J393" i="2"/>
  <c r="O393" i="2" s="1"/>
  <c r="M392" i="2"/>
  <c r="R392" i="2" s="1"/>
  <c r="L392" i="2"/>
  <c r="Q392" i="2" s="1"/>
  <c r="K392" i="2"/>
  <c r="P392" i="2" s="1"/>
  <c r="J392" i="2"/>
  <c r="O392" i="2" s="1"/>
  <c r="M391" i="2"/>
  <c r="R391" i="2" s="1"/>
  <c r="L391" i="2"/>
  <c r="Q391" i="2" s="1"/>
  <c r="K391" i="2"/>
  <c r="P391" i="2" s="1"/>
  <c r="J391" i="2"/>
  <c r="O391" i="2" s="1"/>
  <c r="P390" i="2"/>
  <c r="M390" i="2"/>
  <c r="R390" i="2" s="1"/>
  <c r="L390" i="2"/>
  <c r="Q390" i="2" s="1"/>
  <c r="K390" i="2"/>
  <c r="J390" i="2"/>
  <c r="O390" i="2" s="1"/>
  <c r="M389" i="2"/>
  <c r="R389" i="2" s="1"/>
  <c r="L389" i="2"/>
  <c r="Q389" i="2" s="1"/>
  <c r="K389" i="2"/>
  <c r="P389" i="2" s="1"/>
  <c r="J389" i="2"/>
  <c r="O389" i="2" s="1"/>
  <c r="M388" i="2"/>
  <c r="R388" i="2" s="1"/>
  <c r="L388" i="2"/>
  <c r="Q388" i="2" s="1"/>
  <c r="K388" i="2"/>
  <c r="P388" i="2" s="1"/>
  <c r="J388" i="2"/>
  <c r="O388" i="2" s="1"/>
  <c r="M387" i="2"/>
  <c r="R387" i="2" s="1"/>
  <c r="L387" i="2"/>
  <c r="Q387" i="2" s="1"/>
  <c r="K387" i="2"/>
  <c r="P387" i="2" s="1"/>
  <c r="J387" i="2"/>
  <c r="O387" i="2" s="1"/>
  <c r="M386" i="2"/>
  <c r="R386" i="2" s="1"/>
  <c r="L386" i="2"/>
  <c r="Q386" i="2" s="1"/>
  <c r="K386" i="2"/>
  <c r="P386" i="2" s="1"/>
  <c r="J386" i="2"/>
  <c r="O386" i="2" s="1"/>
  <c r="M385" i="2"/>
  <c r="R385" i="2" s="1"/>
  <c r="L385" i="2"/>
  <c r="Q385" i="2" s="1"/>
  <c r="K385" i="2"/>
  <c r="P385" i="2" s="1"/>
  <c r="J385" i="2"/>
  <c r="O385" i="2" s="1"/>
  <c r="M384" i="2"/>
  <c r="R384" i="2" s="1"/>
  <c r="L384" i="2"/>
  <c r="Q384" i="2" s="1"/>
  <c r="K384" i="2"/>
  <c r="P384" i="2" s="1"/>
  <c r="J384" i="2"/>
  <c r="O384" i="2" s="1"/>
  <c r="M383" i="2"/>
  <c r="R383" i="2" s="1"/>
  <c r="L383" i="2"/>
  <c r="Q383" i="2" s="1"/>
  <c r="K383" i="2"/>
  <c r="P383" i="2" s="1"/>
  <c r="J383" i="2"/>
  <c r="O383" i="2" s="1"/>
  <c r="P382" i="2"/>
  <c r="M382" i="2"/>
  <c r="R382" i="2" s="1"/>
  <c r="L382" i="2"/>
  <c r="Q382" i="2" s="1"/>
  <c r="K382" i="2"/>
  <c r="J382" i="2"/>
  <c r="O382" i="2" s="1"/>
  <c r="M381" i="2"/>
  <c r="R381" i="2" s="1"/>
  <c r="L381" i="2"/>
  <c r="Q381" i="2" s="1"/>
  <c r="K381" i="2"/>
  <c r="P381" i="2" s="1"/>
  <c r="J381" i="2"/>
  <c r="O381" i="2" s="1"/>
  <c r="M380" i="2"/>
  <c r="R380" i="2" s="1"/>
  <c r="L380" i="2"/>
  <c r="Q380" i="2" s="1"/>
  <c r="K380" i="2"/>
  <c r="P380" i="2" s="1"/>
  <c r="J380" i="2"/>
  <c r="O380" i="2" s="1"/>
  <c r="M379" i="2"/>
  <c r="R379" i="2" s="1"/>
  <c r="L379" i="2"/>
  <c r="Q379" i="2" s="1"/>
  <c r="K379" i="2"/>
  <c r="P379" i="2" s="1"/>
  <c r="J379" i="2"/>
  <c r="O379" i="2" s="1"/>
  <c r="M378" i="2"/>
  <c r="R378" i="2" s="1"/>
  <c r="L378" i="2"/>
  <c r="Q378" i="2" s="1"/>
  <c r="K378" i="2"/>
  <c r="P378" i="2" s="1"/>
  <c r="J378" i="2"/>
  <c r="O378" i="2" s="1"/>
  <c r="M377" i="2"/>
  <c r="R377" i="2" s="1"/>
  <c r="L377" i="2"/>
  <c r="Q377" i="2" s="1"/>
  <c r="K377" i="2"/>
  <c r="P377" i="2" s="1"/>
  <c r="J377" i="2"/>
  <c r="O377" i="2" s="1"/>
  <c r="M376" i="2"/>
  <c r="R376" i="2" s="1"/>
  <c r="L376" i="2"/>
  <c r="Q376" i="2" s="1"/>
  <c r="K376" i="2"/>
  <c r="P376" i="2" s="1"/>
  <c r="J376" i="2"/>
  <c r="O376" i="2" s="1"/>
  <c r="M375" i="2"/>
  <c r="R375" i="2" s="1"/>
  <c r="L375" i="2"/>
  <c r="Q375" i="2" s="1"/>
  <c r="K375" i="2"/>
  <c r="P375" i="2" s="1"/>
  <c r="J375" i="2"/>
  <c r="O375" i="2" s="1"/>
  <c r="M374" i="2"/>
  <c r="R374" i="2" s="1"/>
  <c r="L374" i="2"/>
  <c r="Q374" i="2" s="1"/>
  <c r="K374" i="2"/>
  <c r="P374" i="2" s="1"/>
  <c r="J374" i="2"/>
  <c r="O374" i="2" s="1"/>
  <c r="M373" i="2"/>
  <c r="R373" i="2" s="1"/>
  <c r="L373" i="2"/>
  <c r="Q373" i="2" s="1"/>
  <c r="K373" i="2"/>
  <c r="P373" i="2" s="1"/>
  <c r="J373" i="2"/>
  <c r="O373" i="2" s="1"/>
  <c r="M372" i="2"/>
  <c r="R372" i="2" s="1"/>
  <c r="L372" i="2"/>
  <c r="Q372" i="2" s="1"/>
  <c r="K372" i="2"/>
  <c r="P372" i="2" s="1"/>
  <c r="J372" i="2"/>
  <c r="O372" i="2" s="1"/>
  <c r="M371" i="2"/>
  <c r="R371" i="2" s="1"/>
  <c r="L371" i="2"/>
  <c r="Q371" i="2" s="1"/>
  <c r="K371" i="2"/>
  <c r="P371" i="2" s="1"/>
  <c r="J371" i="2"/>
  <c r="O371" i="2" s="1"/>
  <c r="M370" i="2"/>
  <c r="R370" i="2" s="1"/>
  <c r="L370" i="2"/>
  <c r="Q370" i="2" s="1"/>
  <c r="K370" i="2"/>
  <c r="P370" i="2" s="1"/>
  <c r="J370" i="2"/>
  <c r="O370" i="2" s="1"/>
  <c r="M369" i="2"/>
  <c r="R369" i="2" s="1"/>
  <c r="L369" i="2"/>
  <c r="Q369" i="2" s="1"/>
  <c r="K369" i="2"/>
  <c r="P369" i="2" s="1"/>
  <c r="J369" i="2"/>
  <c r="O369" i="2" s="1"/>
  <c r="M368" i="2"/>
  <c r="R368" i="2" s="1"/>
  <c r="L368" i="2"/>
  <c r="Q368" i="2" s="1"/>
  <c r="K368" i="2"/>
  <c r="P368" i="2" s="1"/>
  <c r="J368" i="2"/>
  <c r="O368" i="2" s="1"/>
  <c r="M367" i="2"/>
  <c r="R367" i="2" s="1"/>
  <c r="L367" i="2"/>
  <c r="Q367" i="2" s="1"/>
  <c r="K367" i="2"/>
  <c r="P367" i="2" s="1"/>
  <c r="J367" i="2"/>
  <c r="O367" i="2" s="1"/>
  <c r="M366" i="2"/>
  <c r="R366" i="2" s="1"/>
  <c r="L366" i="2"/>
  <c r="Q366" i="2" s="1"/>
  <c r="K366" i="2"/>
  <c r="P366" i="2" s="1"/>
  <c r="J366" i="2"/>
  <c r="O366" i="2" s="1"/>
  <c r="M365" i="2"/>
  <c r="R365" i="2" s="1"/>
  <c r="L365" i="2"/>
  <c r="Q365" i="2" s="1"/>
  <c r="K365" i="2"/>
  <c r="P365" i="2" s="1"/>
  <c r="J365" i="2"/>
  <c r="O365" i="2" s="1"/>
  <c r="M364" i="2"/>
  <c r="R364" i="2" s="1"/>
  <c r="L364" i="2"/>
  <c r="Q364" i="2" s="1"/>
  <c r="K364" i="2"/>
  <c r="P364" i="2" s="1"/>
  <c r="J364" i="2"/>
  <c r="O364" i="2" s="1"/>
  <c r="M363" i="2"/>
  <c r="R363" i="2" s="1"/>
  <c r="L363" i="2"/>
  <c r="Q363" i="2" s="1"/>
  <c r="K363" i="2"/>
  <c r="P363" i="2" s="1"/>
  <c r="J363" i="2"/>
  <c r="O363" i="2" s="1"/>
  <c r="M362" i="2"/>
  <c r="R362" i="2" s="1"/>
  <c r="L362" i="2"/>
  <c r="Q362" i="2" s="1"/>
  <c r="K362" i="2"/>
  <c r="P362" i="2" s="1"/>
  <c r="J362" i="2"/>
  <c r="O362" i="2" s="1"/>
  <c r="M361" i="2"/>
  <c r="R361" i="2" s="1"/>
  <c r="L361" i="2"/>
  <c r="Q361" i="2" s="1"/>
  <c r="K361" i="2"/>
  <c r="P361" i="2" s="1"/>
  <c r="J361" i="2"/>
  <c r="O361" i="2" s="1"/>
  <c r="M360" i="2"/>
  <c r="R360" i="2" s="1"/>
  <c r="L360" i="2"/>
  <c r="Q360" i="2" s="1"/>
  <c r="K360" i="2"/>
  <c r="P360" i="2" s="1"/>
  <c r="J360" i="2"/>
  <c r="O360" i="2" s="1"/>
  <c r="P359" i="2"/>
  <c r="M359" i="2"/>
  <c r="R359" i="2" s="1"/>
  <c r="L359" i="2"/>
  <c r="Q359" i="2" s="1"/>
  <c r="K359" i="2"/>
  <c r="J359" i="2"/>
  <c r="O359" i="2" s="1"/>
  <c r="M358" i="2"/>
  <c r="R358" i="2" s="1"/>
  <c r="L358" i="2"/>
  <c r="Q358" i="2" s="1"/>
  <c r="K358" i="2"/>
  <c r="P358" i="2" s="1"/>
  <c r="J358" i="2"/>
  <c r="O358" i="2" s="1"/>
  <c r="M357" i="2"/>
  <c r="R357" i="2" s="1"/>
  <c r="L357" i="2"/>
  <c r="Q357" i="2" s="1"/>
  <c r="K357" i="2"/>
  <c r="P357" i="2" s="1"/>
  <c r="J357" i="2"/>
  <c r="O357" i="2" s="1"/>
  <c r="M356" i="2"/>
  <c r="R356" i="2" s="1"/>
  <c r="L356" i="2"/>
  <c r="Q356" i="2" s="1"/>
  <c r="K356" i="2"/>
  <c r="P356" i="2" s="1"/>
  <c r="J356" i="2"/>
  <c r="O356" i="2" s="1"/>
  <c r="M355" i="2"/>
  <c r="R355" i="2" s="1"/>
  <c r="L355" i="2"/>
  <c r="Q355" i="2" s="1"/>
  <c r="K355" i="2"/>
  <c r="P355" i="2" s="1"/>
  <c r="J355" i="2"/>
  <c r="O355" i="2" s="1"/>
  <c r="M354" i="2"/>
  <c r="R354" i="2" s="1"/>
  <c r="L354" i="2"/>
  <c r="Q354" i="2" s="1"/>
  <c r="K354" i="2"/>
  <c r="P354" i="2" s="1"/>
  <c r="J354" i="2"/>
  <c r="O354" i="2" s="1"/>
  <c r="M353" i="2"/>
  <c r="R353" i="2" s="1"/>
  <c r="L353" i="2"/>
  <c r="Q353" i="2" s="1"/>
  <c r="K353" i="2"/>
  <c r="P353" i="2" s="1"/>
  <c r="J353" i="2"/>
  <c r="O353" i="2" s="1"/>
  <c r="P352" i="2"/>
  <c r="M352" i="2"/>
  <c r="R352" i="2" s="1"/>
  <c r="L352" i="2"/>
  <c r="Q352" i="2" s="1"/>
  <c r="K352" i="2"/>
  <c r="J352" i="2"/>
  <c r="O352" i="2" s="1"/>
  <c r="M351" i="2"/>
  <c r="R351" i="2" s="1"/>
  <c r="L351" i="2"/>
  <c r="Q351" i="2" s="1"/>
  <c r="K351" i="2"/>
  <c r="P351" i="2" s="1"/>
  <c r="J351" i="2"/>
  <c r="O351" i="2" s="1"/>
  <c r="M350" i="2"/>
  <c r="R350" i="2" s="1"/>
  <c r="L350" i="2"/>
  <c r="Q350" i="2" s="1"/>
  <c r="K350" i="2"/>
  <c r="P350" i="2" s="1"/>
  <c r="J350" i="2"/>
  <c r="O350" i="2" s="1"/>
  <c r="M349" i="2"/>
  <c r="R349" i="2" s="1"/>
  <c r="L349" i="2"/>
  <c r="Q349" i="2" s="1"/>
  <c r="K349" i="2"/>
  <c r="P349" i="2" s="1"/>
  <c r="J349" i="2"/>
  <c r="O349" i="2" s="1"/>
  <c r="M348" i="2"/>
  <c r="R348" i="2" s="1"/>
  <c r="L348" i="2"/>
  <c r="Q348" i="2" s="1"/>
  <c r="K348" i="2"/>
  <c r="P348" i="2" s="1"/>
  <c r="J348" i="2"/>
  <c r="O348" i="2" s="1"/>
  <c r="M347" i="2"/>
  <c r="R347" i="2" s="1"/>
  <c r="L347" i="2"/>
  <c r="Q347" i="2" s="1"/>
  <c r="K347" i="2"/>
  <c r="P347" i="2" s="1"/>
  <c r="J347" i="2"/>
  <c r="O347" i="2" s="1"/>
  <c r="M346" i="2"/>
  <c r="R346" i="2" s="1"/>
  <c r="L346" i="2"/>
  <c r="Q346" i="2" s="1"/>
  <c r="K346" i="2"/>
  <c r="P346" i="2" s="1"/>
  <c r="J346" i="2"/>
  <c r="O346" i="2" s="1"/>
  <c r="M345" i="2"/>
  <c r="R345" i="2" s="1"/>
  <c r="L345" i="2"/>
  <c r="Q345" i="2" s="1"/>
  <c r="K345" i="2"/>
  <c r="P345" i="2" s="1"/>
  <c r="J345" i="2"/>
  <c r="O345" i="2" s="1"/>
  <c r="M344" i="2"/>
  <c r="R344" i="2" s="1"/>
  <c r="L344" i="2"/>
  <c r="Q344" i="2" s="1"/>
  <c r="K344" i="2"/>
  <c r="P344" i="2" s="1"/>
  <c r="J344" i="2"/>
  <c r="O344" i="2" s="1"/>
  <c r="M343" i="2"/>
  <c r="R343" i="2" s="1"/>
  <c r="L343" i="2"/>
  <c r="Q343" i="2" s="1"/>
  <c r="K343" i="2"/>
  <c r="P343" i="2" s="1"/>
  <c r="J343" i="2"/>
  <c r="O343" i="2" s="1"/>
  <c r="M342" i="2"/>
  <c r="R342" i="2" s="1"/>
  <c r="L342" i="2"/>
  <c r="Q342" i="2" s="1"/>
  <c r="K342" i="2"/>
  <c r="P342" i="2" s="1"/>
  <c r="J342" i="2"/>
  <c r="O342" i="2" s="1"/>
  <c r="M341" i="2"/>
  <c r="R341" i="2" s="1"/>
  <c r="L341" i="2"/>
  <c r="Q341" i="2" s="1"/>
  <c r="K341" i="2"/>
  <c r="P341" i="2" s="1"/>
  <c r="J341" i="2"/>
  <c r="O341" i="2" s="1"/>
  <c r="M340" i="2"/>
  <c r="R340" i="2" s="1"/>
  <c r="L340" i="2"/>
  <c r="Q340" i="2" s="1"/>
  <c r="K340" i="2"/>
  <c r="P340" i="2" s="1"/>
  <c r="J340" i="2"/>
  <c r="O340" i="2" s="1"/>
  <c r="M339" i="2"/>
  <c r="R339" i="2" s="1"/>
  <c r="L339" i="2"/>
  <c r="Q339" i="2" s="1"/>
  <c r="K339" i="2"/>
  <c r="P339" i="2" s="1"/>
  <c r="J339" i="2"/>
  <c r="O339" i="2" s="1"/>
  <c r="M338" i="2"/>
  <c r="R338" i="2" s="1"/>
  <c r="L338" i="2"/>
  <c r="Q338" i="2" s="1"/>
  <c r="K338" i="2"/>
  <c r="P338" i="2" s="1"/>
  <c r="J338" i="2"/>
  <c r="O338" i="2" s="1"/>
  <c r="M337" i="2"/>
  <c r="R337" i="2" s="1"/>
  <c r="L337" i="2"/>
  <c r="Q337" i="2" s="1"/>
  <c r="K337" i="2"/>
  <c r="P337" i="2" s="1"/>
  <c r="J337" i="2"/>
  <c r="O337" i="2" s="1"/>
  <c r="M336" i="2"/>
  <c r="R336" i="2" s="1"/>
  <c r="L336" i="2"/>
  <c r="Q336" i="2" s="1"/>
  <c r="K336" i="2"/>
  <c r="P336" i="2" s="1"/>
  <c r="J336" i="2"/>
  <c r="O336" i="2" s="1"/>
  <c r="P335" i="2"/>
  <c r="M335" i="2"/>
  <c r="R335" i="2" s="1"/>
  <c r="L335" i="2"/>
  <c r="Q335" i="2" s="1"/>
  <c r="K335" i="2"/>
  <c r="J335" i="2"/>
  <c r="O335" i="2" s="1"/>
  <c r="M334" i="2"/>
  <c r="R334" i="2" s="1"/>
  <c r="L334" i="2"/>
  <c r="Q334" i="2" s="1"/>
  <c r="K334" i="2"/>
  <c r="P334" i="2" s="1"/>
  <c r="J334" i="2"/>
  <c r="O334" i="2" s="1"/>
  <c r="M333" i="2"/>
  <c r="R333" i="2" s="1"/>
  <c r="L333" i="2"/>
  <c r="Q333" i="2" s="1"/>
  <c r="K333" i="2"/>
  <c r="P333" i="2" s="1"/>
  <c r="J333" i="2"/>
  <c r="O333" i="2" s="1"/>
  <c r="M332" i="2"/>
  <c r="R332" i="2" s="1"/>
  <c r="L332" i="2"/>
  <c r="Q332" i="2" s="1"/>
  <c r="K332" i="2"/>
  <c r="P332" i="2" s="1"/>
  <c r="J332" i="2"/>
  <c r="O332" i="2" s="1"/>
  <c r="M331" i="2"/>
  <c r="R331" i="2" s="1"/>
  <c r="L331" i="2"/>
  <c r="Q331" i="2" s="1"/>
  <c r="K331" i="2"/>
  <c r="P331" i="2" s="1"/>
  <c r="J331" i="2"/>
  <c r="O331" i="2" s="1"/>
  <c r="M330" i="2"/>
  <c r="R330" i="2" s="1"/>
  <c r="L330" i="2"/>
  <c r="Q330" i="2" s="1"/>
  <c r="K330" i="2"/>
  <c r="P330" i="2" s="1"/>
  <c r="J330" i="2"/>
  <c r="O330" i="2" s="1"/>
  <c r="M329" i="2"/>
  <c r="R329" i="2" s="1"/>
  <c r="L329" i="2"/>
  <c r="Q329" i="2" s="1"/>
  <c r="K329" i="2"/>
  <c r="P329" i="2" s="1"/>
  <c r="J329" i="2"/>
  <c r="O329" i="2" s="1"/>
  <c r="M328" i="2"/>
  <c r="R328" i="2" s="1"/>
  <c r="L328" i="2"/>
  <c r="Q328" i="2" s="1"/>
  <c r="K328" i="2"/>
  <c r="P328" i="2" s="1"/>
  <c r="J328" i="2"/>
  <c r="O328" i="2" s="1"/>
  <c r="M327" i="2"/>
  <c r="R327" i="2" s="1"/>
  <c r="L327" i="2"/>
  <c r="Q327" i="2" s="1"/>
  <c r="K327" i="2"/>
  <c r="P327" i="2" s="1"/>
  <c r="J327" i="2"/>
  <c r="O327" i="2" s="1"/>
  <c r="M326" i="2"/>
  <c r="R326" i="2" s="1"/>
  <c r="L326" i="2"/>
  <c r="Q326" i="2" s="1"/>
  <c r="K326" i="2"/>
  <c r="P326" i="2" s="1"/>
  <c r="J326" i="2"/>
  <c r="O326" i="2" s="1"/>
  <c r="M325" i="2"/>
  <c r="R325" i="2" s="1"/>
  <c r="L325" i="2"/>
  <c r="Q325" i="2" s="1"/>
  <c r="K325" i="2"/>
  <c r="P325" i="2" s="1"/>
  <c r="J325" i="2"/>
  <c r="O325" i="2" s="1"/>
  <c r="Q324" i="2"/>
  <c r="M324" i="2"/>
  <c r="R324" i="2" s="1"/>
  <c r="L324" i="2"/>
  <c r="K324" i="2"/>
  <c r="P324" i="2" s="1"/>
  <c r="J324" i="2"/>
  <c r="O324" i="2" s="1"/>
  <c r="M323" i="2"/>
  <c r="R323" i="2" s="1"/>
  <c r="L323" i="2"/>
  <c r="Q323" i="2" s="1"/>
  <c r="K323" i="2"/>
  <c r="P323" i="2" s="1"/>
  <c r="J323" i="2"/>
  <c r="O323" i="2" s="1"/>
  <c r="M322" i="2"/>
  <c r="R322" i="2" s="1"/>
  <c r="L322" i="2"/>
  <c r="Q322" i="2" s="1"/>
  <c r="K322" i="2"/>
  <c r="P322" i="2" s="1"/>
  <c r="J322" i="2"/>
  <c r="O322" i="2" s="1"/>
  <c r="M321" i="2"/>
  <c r="R321" i="2" s="1"/>
  <c r="L321" i="2"/>
  <c r="Q321" i="2" s="1"/>
  <c r="K321" i="2"/>
  <c r="P321" i="2" s="1"/>
  <c r="J321" i="2"/>
  <c r="O321" i="2" s="1"/>
  <c r="M320" i="2"/>
  <c r="R320" i="2" s="1"/>
  <c r="L320" i="2"/>
  <c r="Q320" i="2" s="1"/>
  <c r="K320" i="2"/>
  <c r="P320" i="2" s="1"/>
  <c r="J320" i="2"/>
  <c r="O320" i="2" s="1"/>
  <c r="M319" i="2"/>
  <c r="R319" i="2" s="1"/>
  <c r="L319" i="2"/>
  <c r="Q319" i="2" s="1"/>
  <c r="K319" i="2"/>
  <c r="P319" i="2" s="1"/>
  <c r="J319" i="2"/>
  <c r="O319" i="2" s="1"/>
  <c r="M318" i="2"/>
  <c r="R318" i="2" s="1"/>
  <c r="L318" i="2"/>
  <c r="Q318" i="2" s="1"/>
  <c r="K318" i="2"/>
  <c r="P318" i="2" s="1"/>
  <c r="J318" i="2"/>
  <c r="O318" i="2" s="1"/>
  <c r="M317" i="2"/>
  <c r="R317" i="2" s="1"/>
  <c r="L317" i="2"/>
  <c r="Q317" i="2" s="1"/>
  <c r="K317" i="2"/>
  <c r="P317" i="2" s="1"/>
  <c r="J317" i="2"/>
  <c r="O317" i="2" s="1"/>
  <c r="Q316" i="2"/>
  <c r="M316" i="2"/>
  <c r="R316" i="2" s="1"/>
  <c r="L316" i="2"/>
  <c r="K316" i="2"/>
  <c r="P316" i="2" s="1"/>
  <c r="J316" i="2"/>
  <c r="O316" i="2" s="1"/>
  <c r="M315" i="2"/>
  <c r="R315" i="2" s="1"/>
  <c r="L315" i="2"/>
  <c r="Q315" i="2" s="1"/>
  <c r="K315" i="2"/>
  <c r="P315" i="2" s="1"/>
  <c r="J315" i="2"/>
  <c r="O315" i="2" s="1"/>
  <c r="M314" i="2"/>
  <c r="R314" i="2" s="1"/>
  <c r="L314" i="2"/>
  <c r="Q314" i="2" s="1"/>
  <c r="K314" i="2"/>
  <c r="P314" i="2" s="1"/>
  <c r="J314" i="2"/>
  <c r="O314" i="2" s="1"/>
  <c r="M313" i="2"/>
  <c r="R313" i="2" s="1"/>
  <c r="L313" i="2"/>
  <c r="Q313" i="2" s="1"/>
  <c r="K313" i="2"/>
  <c r="P313" i="2" s="1"/>
  <c r="J313" i="2"/>
  <c r="O313" i="2" s="1"/>
  <c r="Q312" i="2"/>
  <c r="M312" i="2"/>
  <c r="R312" i="2" s="1"/>
  <c r="L312" i="2"/>
  <c r="K312" i="2"/>
  <c r="P312" i="2" s="1"/>
  <c r="J312" i="2"/>
  <c r="O312" i="2" s="1"/>
  <c r="M311" i="2"/>
  <c r="R311" i="2" s="1"/>
  <c r="L311" i="2"/>
  <c r="Q311" i="2" s="1"/>
  <c r="K311" i="2"/>
  <c r="P311" i="2" s="1"/>
  <c r="J311" i="2"/>
  <c r="O311" i="2" s="1"/>
  <c r="M310" i="2"/>
  <c r="R310" i="2" s="1"/>
  <c r="L310" i="2"/>
  <c r="Q310" i="2" s="1"/>
  <c r="K310" i="2"/>
  <c r="P310" i="2" s="1"/>
  <c r="J310" i="2"/>
  <c r="O310" i="2" s="1"/>
  <c r="M309" i="2"/>
  <c r="R309" i="2" s="1"/>
  <c r="L309" i="2"/>
  <c r="Q309" i="2" s="1"/>
  <c r="K309" i="2"/>
  <c r="P309" i="2" s="1"/>
  <c r="J309" i="2"/>
  <c r="O309" i="2" s="1"/>
  <c r="M308" i="2"/>
  <c r="R308" i="2" s="1"/>
  <c r="L308" i="2"/>
  <c r="Q308" i="2" s="1"/>
  <c r="K308" i="2"/>
  <c r="P308" i="2" s="1"/>
  <c r="J308" i="2"/>
  <c r="O308" i="2" s="1"/>
  <c r="M307" i="2"/>
  <c r="R307" i="2" s="1"/>
  <c r="L307" i="2"/>
  <c r="Q307" i="2" s="1"/>
  <c r="K307" i="2"/>
  <c r="P307" i="2" s="1"/>
  <c r="J307" i="2"/>
  <c r="O307" i="2" s="1"/>
  <c r="M306" i="2"/>
  <c r="R306" i="2" s="1"/>
  <c r="L306" i="2"/>
  <c r="Q306" i="2" s="1"/>
  <c r="K306" i="2"/>
  <c r="P306" i="2" s="1"/>
  <c r="J306" i="2"/>
  <c r="O306" i="2" s="1"/>
  <c r="M305" i="2"/>
  <c r="R305" i="2" s="1"/>
  <c r="L305" i="2"/>
  <c r="Q305" i="2" s="1"/>
  <c r="K305" i="2"/>
  <c r="P305" i="2" s="1"/>
  <c r="J305" i="2"/>
  <c r="O305" i="2" s="1"/>
  <c r="M304" i="2"/>
  <c r="R304" i="2" s="1"/>
  <c r="L304" i="2"/>
  <c r="Q304" i="2" s="1"/>
  <c r="K304" i="2"/>
  <c r="P304" i="2" s="1"/>
  <c r="J304" i="2"/>
  <c r="O304" i="2" s="1"/>
  <c r="M303" i="2"/>
  <c r="R303" i="2" s="1"/>
  <c r="L303" i="2"/>
  <c r="Q303" i="2" s="1"/>
  <c r="K303" i="2"/>
  <c r="P303" i="2" s="1"/>
  <c r="J303" i="2"/>
  <c r="O303" i="2" s="1"/>
  <c r="M302" i="2"/>
  <c r="R302" i="2" s="1"/>
  <c r="L302" i="2"/>
  <c r="Q302" i="2" s="1"/>
  <c r="K302" i="2"/>
  <c r="P302" i="2" s="1"/>
  <c r="J302" i="2"/>
  <c r="O302" i="2" s="1"/>
  <c r="M301" i="2"/>
  <c r="R301" i="2" s="1"/>
  <c r="L301" i="2"/>
  <c r="Q301" i="2" s="1"/>
  <c r="K301" i="2"/>
  <c r="P301" i="2" s="1"/>
  <c r="J301" i="2"/>
  <c r="O301" i="2" s="1"/>
  <c r="M300" i="2"/>
  <c r="R300" i="2" s="1"/>
  <c r="L300" i="2"/>
  <c r="Q300" i="2" s="1"/>
  <c r="K300" i="2"/>
  <c r="P300" i="2" s="1"/>
  <c r="J300" i="2"/>
  <c r="O300" i="2" s="1"/>
  <c r="M299" i="2"/>
  <c r="R299" i="2" s="1"/>
  <c r="L299" i="2"/>
  <c r="Q299" i="2" s="1"/>
  <c r="K299" i="2"/>
  <c r="P299" i="2" s="1"/>
  <c r="J299" i="2"/>
  <c r="O299" i="2" s="1"/>
  <c r="M298" i="2"/>
  <c r="R298" i="2" s="1"/>
  <c r="L298" i="2"/>
  <c r="Q298" i="2" s="1"/>
  <c r="K298" i="2"/>
  <c r="P298" i="2" s="1"/>
  <c r="J298" i="2"/>
  <c r="O298" i="2" s="1"/>
  <c r="M297" i="2"/>
  <c r="R297" i="2" s="1"/>
  <c r="L297" i="2"/>
  <c r="Q297" i="2" s="1"/>
  <c r="K297" i="2"/>
  <c r="P297" i="2" s="1"/>
  <c r="J297" i="2"/>
  <c r="O297" i="2" s="1"/>
  <c r="M296" i="2"/>
  <c r="R296" i="2" s="1"/>
  <c r="L296" i="2"/>
  <c r="Q296" i="2" s="1"/>
  <c r="K296" i="2"/>
  <c r="P296" i="2" s="1"/>
  <c r="J296" i="2"/>
  <c r="O296" i="2" s="1"/>
  <c r="M295" i="2"/>
  <c r="R295" i="2" s="1"/>
  <c r="L295" i="2"/>
  <c r="Q295" i="2" s="1"/>
  <c r="K295" i="2"/>
  <c r="P295" i="2" s="1"/>
  <c r="J295" i="2"/>
  <c r="O295" i="2" s="1"/>
  <c r="M294" i="2"/>
  <c r="R294" i="2" s="1"/>
  <c r="L294" i="2"/>
  <c r="Q294" i="2" s="1"/>
  <c r="K294" i="2"/>
  <c r="P294" i="2" s="1"/>
  <c r="J294" i="2"/>
  <c r="O294" i="2" s="1"/>
  <c r="M293" i="2"/>
  <c r="R293" i="2" s="1"/>
  <c r="L293" i="2"/>
  <c r="Q293" i="2" s="1"/>
  <c r="K293" i="2"/>
  <c r="P293" i="2" s="1"/>
  <c r="J293" i="2"/>
  <c r="O293" i="2" s="1"/>
  <c r="M292" i="2"/>
  <c r="R292" i="2" s="1"/>
  <c r="L292" i="2"/>
  <c r="Q292" i="2" s="1"/>
  <c r="K292" i="2"/>
  <c r="P292" i="2" s="1"/>
  <c r="J292" i="2"/>
  <c r="O292" i="2" s="1"/>
  <c r="M291" i="2"/>
  <c r="R291" i="2" s="1"/>
  <c r="L291" i="2"/>
  <c r="Q291" i="2" s="1"/>
  <c r="K291" i="2"/>
  <c r="P291" i="2" s="1"/>
  <c r="J291" i="2"/>
  <c r="O291" i="2" s="1"/>
  <c r="Q290" i="2"/>
  <c r="M290" i="2"/>
  <c r="R290" i="2" s="1"/>
  <c r="L290" i="2"/>
  <c r="K290" i="2"/>
  <c r="P290" i="2" s="1"/>
  <c r="J290" i="2"/>
  <c r="O290" i="2" s="1"/>
  <c r="M289" i="2"/>
  <c r="R289" i="2" s="1"/>
  <c r="L289" i="2"/>
  <c r="Q289" i="2" s="1"/>
  <c r="K289" i="2"/>
  <c r="P289" i="2" s="1"/>
  <c r="J289" i="2"/>
  <c r="O289" i="2" s="1"/>
  <c r="M288" i="2"/>
  <c r="R288" i="2" s="1"/>
  <c r="L288" i="2"/>
  <c r="Q288" i="2" s="1"/>
  <c r="K288" i="2"/>
  <c r="P288" i="2" s="1"/>
  <c r="J288" i="2"/>
  <c r="O288" i="2" s="1"/>
  <c r="M287" i="2"/>
  <c r="R287" i="2" s="1"/>
  <c r="L287" i="2"/>
  <c r="Q287" i="2" s="1"/>
  <c r="K287" i="2"/>
  <c r="P287" i="2" s="1"/>
  <c r="J287" i="2"/>
  <c r="O287" i="2" s="1"/>
  <c r="M286" i="2"/>
  <c r="R286" i="2" s="1"/>
  <c r="L286" i="2"/>
  <c r="Q286" i="2" s="1"/>
  <c r="K286" i="2"/>
  <c r="P286" i="2" s="1"/>
  <c r="J286" i="2"/>
  <c r="O286" i="2" s="1"/>
  <c r="M285" i="2"/>
  <c r="R285" i="2" s="1"/>
  <c r="L285" i="2"/>
  <c r="Q285" i="2" s="1"/>
  <c r="K285" i="2"/>
  <c r="P285" i="2" s="1"/>
  <c r="J285" i="2"/>
  <c r="O285" i="2" s="1"/>
  <c r="M284" i="2"/>
  <c r="R284" i="2" s="1"/>
  <c r="L284" i="2"/>
  <c r="Q284" i="2" s="1"/>
  <c r="K284" i="2"/>
  <c r="P284" i="2" s="1"/>
  <c r="J284" i="2"/>
  <c r="O284" i="2" s="1"/>
  <c r="M283" i="2"/>
  <c r="R283" i="2" s="1"/>
  <c r="L283" i="2"/>
  <c r="Q283" i="2" s="1"/>
  <c r="K283" i="2"/>
  <c r="P283" i="2" s="1"/>
  <c r="J283" i="2"/>
  <c r="O283" i="2" s="1"/>
  <c r="M282" i="2"/>
  <c r="R282" i="2" s="1"/>
  <c r="L282" i="2"/>
  <c r="Q282" i="2" s="1"/>
  <c r="K282" i="2"/>
  <c r="P282" i="2" s="1"/>
  <c r="J282" i="2"/>
  <c r="O282" i="2" s="1"/>
  <c r="M281" i="2"/>
  <c r="R281" i="2" s="1"/>
  <c r="L281" i="2"/>
  <c r="Q281" i="2" s="1"/>
  <c r="K281" i="2"/>
  <c r="P281" i="2" s="1"/>
  <c r="J281" i="2"/>
  <c r="O281" i="2" s="1"/>
  <c r="M280" i="2"/>
  <c r="R280" i="2" s="1"/>
  <c r="L280" i="2"/>
  <c r="Q280" i="2" s="1"/>
  <c r="K280" i="2"/>
  <c r="P280" i="2" s="1"/>
  <c r="J280" i="2"/>
  <c r="O280" i="2" s="1"/>
  <c r="M279" i="2"/>
  <c r="R279" i="2" s="1"/>
  <c r="L279" i="2"/>
  <c r="Q279" i="2" s="1"/>
  <c r="K279" i="2"/>
  <c r="P279" i="2" s="1"/>
  <c r="J279" i="2"/>
  <c r="O279" i="2" s="1"/>
  <c r="M278" i="2"/>
  <c r="R278" i="2" s="1"/>
  <c r="L278" i="2"/>
  <c r="Q278" i="2" s="1"/>
  <c r="K278" i="2"/>
  <c r="P278" i="2" s="1"/>
  <c r="J278" i="2"/>
  <c r="O278" i="2" s="1"/>
  <c r="M277" i="2"/>
  <c r="R277" i="2" s="1"/>
  <c r="L277" i="2"/>
  <c r="Q277" i="2" s="1"/>
  <c r="K277" i="2"/>
  <c r="P277" i="2" s="1"/>
  <c r="J277" i="2"/>
  <c r="O277" i="2" s="1"/>
  <c r="M276" i="2"/>
  <c r="R276" i="2" s="1"/>
  <c r="L276" i="2"/>
  <c r="Q276" i="2" s="1"/>
  <c r="K276" i="2"/>
  <c r="P276" i="2" s="1"/>
  <c r="J276" i="2"/>
  <c r="O276" i="2" s="1"/>
  <c r="M275" i="2"/>
  <c r="R275" i="2" s="1"/>
  <c r="L275" i="2"/>
  <c r="Q275" i="2" s="1"/>
  <c r="K275" i="2"/>
  <c r="P275" i="2" s="1"/>
  <c r="J275" i="2"/>
  <c r="O275" i="2" s="1"/>
  <c r="M274" i="2"/>
  <c r="R274" i="2" s="1"/>
  <c r="L274" i="2"/>
  <c r="Q274" i="2" s="1"/>
  <c r="K274" i="2"/>
  <c r="P274" i="2" s="1"/>
  <c r="J274" i="2"/>
  <c r="O274" i="2" s="1"/>
  <c r="M273" i="2"/>
  <c r="R273" i="2" s="1"/>
  <c r="L273" i="2"/>
  <c r="Q273" i="2" s="1"/>
  <c r="K273" i="2"/>
  <c r="P273" i="2" s="1"/>
  <c r="J273" i="2"/>
  <c r="O273" i="2" s="1"/>
  <c r="M272" i="2"/>
  <c r="R272" i="2" s="1"/>
  <c r="L272" i="2"/>
  <c r="Q272" i="2" s="1"/>
  <c r="K272" i="2"/>
  <c r="P272" i="2" s="1"/>
  <c r="J272" i="2"/>
  <c r="O272" i="2" s="1"/>
  <c r="M271" i="2"/>
  <c r="R271" i="2" s="1"/>
  <c r="L271" i="2"/>
  <c r="Q271" i="2" s="1"/>
  <c r="K271" i="2"/>
  <c r="P271" i="2" s="1"/>
  <c r="J271" i="2"/>
  <c r="O271" i="2" s="1"/>
  <c r="M270" i="2"/>
  <c r="R270" i="2" s="1"/>
  <c r="L270" i="2"/>
  <c r="Q270" i="2" s="1"/>
  <c r="K270" i="2"/>
  <c r="P270" i="2" s="1"/>
  <c r="J270" i="2"/>
  <c r="O270" i="2" s="1"/>
  <c r="M269" i="2"/>
  <c r="R269" i="2" s="1"/>
  <c r="L269" i="2"/>
  <c r="Q269" i="2" s="1"/>
  <c r="K269" i="2"/>
  <c r="P269" i="2" s="1"/>
  <c r="J269" i="2"/>
  <c r="O269" i="2" s="1"/>
  <c r="M268" i="2"/>
  <c r="R268" i="2" s="1"/>
  <c r="L268" i="2"/>
  <c r="Q268" i="2" s="1"/>
  <c r="K268" i="2"/>
  <c r="P268" i="2" s="1"/>
  <c r="J268" i="2"/>
  <c r="O268" i="2" s="1"/>
  <c r="M267" i="2"/>
  <c r="R267" i="2" s="1"/>
  <c r="L267" i="2"/>
  <c r="Q267" i="2" s="1"/>
  <c r="K267" i="2"/>
  <c r="P267" i="2" s="1"/>
  <c r="J267" i="2"/>
  <c r="O267" i="2" s="1"/>
  <c r="M266" i="2"/>
  <c r="R266" i="2" s="1"/>
  <c r="L266" i="2"/>
  <c r="Q266" i="2" s="1"/>
  <c r="K266" i="2"/>
  <c r="P266" i="2" s="1"/>
  <c r="J266" i="2"/>
  <c r="O266" i="2" s="1"/>
  <c r="M265" i="2"/>
  <c r="R265" i="2" s="1"/>
  <c r="L265" i="2"/>
  <c r="Q265" i="2" s="1"/>
  <c r="K265" i="2"/>
  <c r="P265" i="2" s="1"/>
  <c r="J265" i="2"/>
  <c r="O265" i="2" s="1"/>
  <c r="P264" i="2"/>
  <c r="M264" i="2"/>
  <c r="R264" i="2" s="1"/>
  <c r="L264" i="2"/>
  <c r="Q264" i="2" s="1"/>
  <c r="K264" i="2"/>
  <c r="J264" i="2"/>
  <c r="O264" i="2" s="1"/>
  <c r="M263" i="2"/>
  <c r="R263" i="2" s="1"/>
  <c r="L263" i="2"/>
  <c r="Q263" i="2" s="1"/>
  <c r="K263" i="2"/>
  <c r="P263" i="2" s="1"/>
  <c r="J263" i="2"/>
  <c r="O263" i="2" s="1"/>
  <c r="M262" i="2"/>
  <c r="R262" i="2" s="1"/>
  <c r="L262" i="2"/>
  <c r="Q262" i="2" s="1"/>
  <c r="K262" i="2"/>
  <c r="P262" i="2" s="1"/>
  <c r="J262" i="2"/>
  <c r="O262" i="2" s="1"/>
  <c r="M261" i="2"/>
  <c r="R261" i="2" s="1"/>
  <c r="L261" i="2"/>
  <c r="Q261" i="2" s="1"/>
  <c r="K261" i="2"/>
  <c r="P261" i="2" s="1"/>
  <c r="J261" i="2"/>
  <c r="O261" i="2" s="1"/>
  <c r="M260" i="2"/>
  <c r="R260" i="2" s="1"/>
  <c r="L260" i="2"/>
  <c r="Q260" i="2" s="1"/>
  <c r="K260" i="2"/>
  <c r="P260" i="2" s="1"/>
  <c r="J260" i="2"/>
  <c r="O260" i="2" s="1"/>
  <c r="M259" i="2"/>
  <c r="R259" i="2" s="1"/>
  <c r="L259" i="2"/>
  <c r="Q259" i="2" s="1"/>
  <c r="K259" i="2"/>
  <c r="P259" i="2" s="1"/>
  <c r="J259" i="2"/>
  <c r="O259" i="2" s="1"/>
  <c r="M258" i="2"/>
  <c r="R258" i="2" s="1"/>
  <c r="L258" i="2"/>
  <c r="Q258" i="2" s="1"/>
  <c r="K258" i="2"/>
  <c r="P258" i="2" s="1"/>
  <c r="J258" i="2"/>
  <c r="O258" i="2" s="1"/>
  <c r="M257" i="2"/>
  <c r="R257" i="2" s="1"/>
  <c r="L257" i="2"/>
  <c r="Q257" i="2" s="1"/>
  <c r="K257" i="2"/>
  <c r="P257" i="2" s="1"/>
  <c r="J257" i="2"/>
  <c r="O257" i="2" s="1"/>
  <c r="M256" i="2"/>
  <c r="R256" i="2" s="1"/>
  <c r="L256" i="2"/>
  <c r="Q256" i="2" s="1"/>
  <c r="K256" i="2"/>
  <c r="P256" i="2" s="1"/>
  <c r="J256" i="2"/>
  <c r="O256" i="2" s="1"/>
  <c r="M255" i="2"/>
  <c r="R255" i="2" s="1"/>
  <c r="L255" i="2"/>
  <c r="Q255" i="2" s="1"/>
  <c r="K255" i="2"/>
  <c r="P255" i="2" s="1"/>
  <c r="J255" i="2"/>
  <c r="O255" i="2" s="1"/>
  <c r="M254" i="2"/>
  <c r="R254" i="2" s="1"/>
  <c r="L254" i="2"/>
  <c r="Q254" i="2" s="1"/>
  <c r="K254" i="2"/>
  <c r="P254" i="2" s="1"/>
  <c r="J254" i="2"/>
  <c r="O254" i="2" s="1"/>
  <c r="M253" i="2"/>
  <c r="R253" i="2" s="1"/>
  <c r="L253" i="2"/>
  <c r="Q253" i="2" s="1"/>
  <c r="K253" i="2"/>
  <c r="P253" i="2" s="1"/>
  <c r="J253" i="2"/>
  <c r="O253" i="2" s="1"/>
  <c r="M252" i="2"/>
  <c r="R252" i="2" s="1"/>
  <c r="L252" i="2"/>
  <c r="Q252" i="2" s="1"/>
  <c r="K252" i="2"/>
  <c r="P252" i="2" s="1"/>
  <c r="J252" i="2"/>
  <c r="O252" i="2" s="1"/>
  <c r="M251" i="2"/>
  <c r="R251" i="2" s="1"/>
  <c r="L251" i="2"/>
  <c r="Q251" i="2" s="1"/>
  <c r="K251" i="2"/>
  <c r="P251" i="2" s="1"/>
  <c r="J251" i="2"/>
  <c r="O251" i="2" s="1"/>
  <c r="M250" i="2"/>
  <c r="R250" i="2" s="1"/>
  <c r="L250" i="2"/>
  <c r="Q250" i="2" s="1"/>
  <c r="K250" i="2"/>
  <c r="P250" i="2" s="1"/>
  <c r="J250" i="2"/>
  <c r="O250" i="2" s="1"/>
  <c r="M249" i="2"/>
  <c r="R249" i="2" s="1"/>
  <c r="L249" i="2"/>
  <c r="Q249" i="2" s="1"/>
  <c r="K249" i="2"/>
  <c r="P249" i="2" s="1"/>
  <c r="J249" i="2"/>
  <c r="O249" i="2" s="1"/>
  <c r="M248" i="2"/>
  <c r="R248" i="2" s="1"/>
  <c r="L248" i="2"/>
  <c r="Q248" i="2" s="1"/>
  <c r="K248" i="2"/>
  <c r="P248" i="2" s="1"/>
  <c r="J248" i="2"/>
  <c r="O248" i="2" s="1"/>
  <c r="M247" i="2"/>
  <c r="R247" i="2" s="1"/>
  <c r="L247" i="2"/>
  <c r="Q247" i="2" s="1"/>
  <c r="K247" i="2"/>
  <c r="P247" i="2" s="1"/>
  <c r="J247" i="2"/>
  <c r="O247" i="2" s="1"/>
  <c r="M246" i="2"/>
  <c r="R246" i="2" s="1"/>
  <c r="L246" i="2"/>
  <c r="Q246" i="2" s="1"/>
  <c r="K246" i="2"/>
  <c r="P246" i="2" s="1"/>
  <c r="J246" i="2"/>
  <c r="O246" i="2" s="1"/>
  <c r="M245" i="2"/>
  <c r="R245" i="2" s="1"/>
  <c r="L245" i="2"/>
  <c r="Q245" i="2" s="1"/>
  <c r="K245" i="2"/>
  <c r="P245" i="2" s="1"/>
  <c r="J245" i="2"/>
  <c r="O245" i="2" s="1"/>
  <c r="M244" i="2"/>
  <c r="R244" i="2" s="1"/>
  <c r="L244" i="2"/>
  <c r="Q244" i="2" s="1"/>
  <c r="K244" i="2"/>
  <c r="P244" i="2" s="1"/>
  <c r="J244" i="2"/>
  <c r="O244" i="2" s="1"/>
  <c r="M243" i="2"/>
  <c r="R243" i="2" s="1"/>
  <c r="L243" i="2"/>
  <c r="Q243" i="2" s="1"/>
  <c r="K243" i="2"/>
  <c r="P243" i="2" s="1"/>
  <c r="J243" i="2"/>
  <c r="O243" i="2" s="1"/>
  <c r="M242" i="2"/>
  <c r="R242" i="2" s="1"/>
  <c r="L242" i="2"/>
  <c r="Q242" i="2" s="1"/>
  <c r="K242" i="2"/>
  <c r="P242" i="2" s="1"/>
  <c r="J242" i="2"/>
  <c r="O242" i="2" s="1"/>
  <c r="R241" i="2"/>
  <c r="M241" i="2"/>
  <c r="L241" i="2"/>
  <c r="Q241" i="2" s="1"/>
  <c r="K241" i="2"/>
  <c r="P241" i="2" s="1"/>
  <c r="J241" i="2"/>
  <c r="O241" i="2" s="1"/>
  <c r="M240" i="2"/>
  <c r="R240" i="2" s="1"/>
  <c r="L240" i="2"/>
  <c r="Q240" i="2" s="1"/>
  <c r="K240" i="2"/>
  <c r="P240" i="2" s="1"/>
  <c r="J240" i="2"/>
  <c r="O240" i="2" s="1"/>
  <c r="M239" i="2"/>
  <c r="R239" i="2" s="1"/>
  <c r="L239" i="2"/>
  <c r="Q239" i="2" s="1"/>
  <c r="K239" i="2"/>
  <c r="P239" i="2" s="1"/>
  <c r="J239" i="2"/>
  <c r="O239" i="2" s="1"/>
  <c r="M238" i="2"/>
  <c r="R238" i="2" s="1"/>
  <c r="L238" i="2"/>
  <c r="Q238" i="2" s="1"/>
  <c r="K238" i="2"/>
  <c r="P238" i="2" s="1"/>
  <c r="J238" i="2"/>
  <c r="O238" i="2" s="1"/>
  <c r="M237" i="2"/>
  <c r="R237" i="2" s="1"/>
  <c r="L237" i="2"/>
  <c r="Q237" i="2" s="1"/>
  <c r="K237" i="2"/>
  <c r="P237" i="2" s="1"/>
  <c r="J237" i="2"/>
  <c r="O237" i="2" s="1"/>
  <c r="M236" i="2"/>
  <c r="R236" i="2" s="1"/>
  <c r="L236" i="2"/>
  <c r="Q236" i="2" s="1"/>
  <c r="K236" i="2"/>
  <c r="P236" i="2" s="1"/>
  <c r="J236" i="2"/>
  <c r="O236" i="2" s="1"/>
  <c r="M235" i="2"/>
  <c r="R235" i="2" s="1"/>
  <c r="L235" i="2"/>
  <c r="Q235" i="2" s="1"/>
  <c r="K235" i="2"/>
  <c r="P235" i="2" s="1"/>
  <c r="J235" i="2"/>
  <c r="O235" i="2" s="1"/>
  <c r="M234" i="2"/>
  <c r="R234" i="2" s="1"/>
  <c r="L234" i="2"/>
  <c r="Q234" i="2" s="1"/>
  <c r="K234" i="2"/>
  <c r="P234" i="2" s="1"/>
  <c r="J234" i="2"/>
  <c r="O234" i="2" s="1"/>
  <c r="M233" i="2"/>
  <c r="R233" i="2" s="1"/>
  <c r="L233" i="2"/>
  <c r="Q233" i="2" s="1"/>
  <c r="K233" i="2"/>
  <c r="P233" i="2" s="1"/>
  <c r="J233" i="2"/>
  <c r="O233" i="2" s="1"/>
  <c r="M232" i="2"/>
  <c r="R232" i="2" s="1"/>
  <c r="L232" i="2"/>
  <c r="Q232" i="2" s="1"/>
  <c r="K232" i="2"/>
  <c r="P232" i="2" s="1"/>
  <c r="J232" i="2"/>
  <c r="O232" i="2" s="1"/>
  <c r="M231" i="2"/>
  <c r="R231" i="2" s="1"/>
  <c r="L231" i="2"/>
  <c r="Q231" i="2" s="1"/>
  <c r="K231" i="2"/>
  <c r="P231" i="2" s="1"/>
  <c r="J231" i="2"/>
  <c r="O231" i="2" s="1"/>
  <c r="M230" i="2"/>
  <c r="R230" i="2" s="1"/>
  <c r="L230" i="2"/>
  <c r="Q230" i="2" s="1"/>
  <c r="K230" i="2"/>
  <c r="P230" i="2" s="1"/>
  <c r="J230" i="2"/>
  <c r="O230" i="2" s="1"/>
  <c r="M229" i="2"/>
  <c r="R229" i="2" s="1"/>
  <c r="L229" i="2"/>
  <c r="Q229" i="2" s="1"/>
  <c r="K229" i="2"/>
  <c r="P229" i="2" s="1"/>
  <c r="J229" i="2"/>
  <c r="O229" i="2" s="1"/>
  <c r="M228" i="2"/>
  <c r="R228" i="2" s="1"/>
  <c r="L228" i="2"/>
  <c r="Q228" i="2" s="1"/>
  <c r="K228" i="2"/>
  <c r="P228" i="2" s="1"/>
  <c r="J228" i="2"/>
  <c r="O228" i="2" s="1"/>
  <c r="M227" i="2"/>
  <c r="R227" i="2" s="1"/>
  <c r="L227" i="2"/>
  <c r="Q227" i="2" s="1"/>
  <c r="K227" i="2"/>
  <c r="P227" i="2" s="1"/>
  <c r="J227" i="2"/>
  <c r="O227" i="2" s="1"/>
  <c r="M226" i="2"/>
  <c r="R226" i="2" s="1"/>
  <c r="L226" i="2"/>
  <c r="Q226" i="2" s="1"/>
  <c r="K226" i="2"/>
  <c r="P226" i="2" s="1"/>
  <c r="J226" i="2"/>
  <c r="O226" i="2" s="1"/>
  <c r="M225" i="2"/>
  <c r="R225" i="2" s="1"/>
  <c r="L225" i="2"/>
  <c r="Q225" i="2" s="1"/>
  <c r="K225" i="2"/>
  <c r="P225" i="2" s="1"/>
  <c r="J225" i="2"/>
  <c r="O225" i="2" s="1"/>
  <c r="M224" i="2"/>
  <c r="R224" i="2" s="1"/>
  <c r="L224" i="2"/>
  <c r="Q224" i="2" s="1"/>
  <c r="K224" i="2"/>
  <c r="P224" i="2" s="1"/>
  <c r="J224" i="2"/>
  <c r="O224" i="2" s="1"/>
  <c r="M223" i="2"/>
  <c r="R223" i="2" s="1"/>
  <c r="L223" i="2"/>
  <c r="Q223" i="2" s="1"/>
  <c r="K223" i="2"/>
  <c r="P223" i="2" s="1"/>
  <c r="J223" i="2"/>
  <c r="O223" i="2" s="1"/>
  <c r="M222" i="2"/>
  <c r="R222" i="2" s="1"/>
  <c r="L222" i="2"/>
  <c r="Q222" i="2" s="1"/>
  <c r="K222" i="2"/>
  <c r="P222" i="2" s="1"/>
  <c r="J222" i="2"/>
  <c r="O222" i="2" s="1"/>
  <c r="M221" i="2"/>
  <c r="R221" i="2" s="1"/>
  <c r="L221" i="2"/>
  <c r="Q221" i="2" s="1"/>
  <c r="K221" i="2"/>
  <c r="P221" i="2" s="1"/>
  <c r="J221" i="2"/>
  <c r="O221" i="2" s="1"/>
  <c r="M220" i="2"/>
  <c r="R220" i="2" s="1"/>
  <c r="L220" i="2"/>
  <c r="Q220" i="2" s="1"/>
  <c r="K220" i="2"/>
  <c r="P220" i="2" s="1"/>
  <c r="J220" i="2"/>
  <c r="O220" i="2" s="1"/>
  <c r="Q219" i="2"/>
  <c r="M219" i="2"/>
  <c r="R219" i="2" s="1"/>
  <c r="L219" i="2"/>
  <c r="K219" i="2"/>
  <c r="P219" i="2" s="1"/>
  <c r="J219" i="2"/>
  <c r="O219" i="2" s="1"/>
  <c r="M218" i="2"/>
  <c r="R218" i="2" s="1"/>
  <c r="L218" i="2"/>
  <c r="Q218" i="2" s="1"/>
  <c r="K218" i="2"/>
  <c r="P218" i="2" s="1"/>
  <c r="J218" i="2"/>
  <c r="O218" i="2" s="1"/>
  <c r="M217" i="2"/>
  <c r="R217" i="2" s="1"/>
  <c r="L217" i="2"/>
  <c r="Q217" i="2" s="1"/>
  <c r="K217" i="2"/>
  <c r="P217" i="2" s="1"/>
  <c r="J217" i="2"/>
  <c r="O217" i="2" s="1"/>
  <c r="M216" i="2"/>
  <c r="R216" i="2" s="1"/>
  <c r="L216" i="2"/>
  <c r="Q216" i="2" s="1"/>
  <c r="K216" i="2"/>
  <c r="P216" i="2" s="1"/>
  <c r="J216" i="2"/>
  <c r="O216" i="2" s="1"/>
  <c r="M215" i="2"/>
  <c r="R215" i="2" s="1"/>
  <c r="L215" i="2"/>
  <c r="Q215" i="2" s="1"/>
  <c r="K215" i="2"/>
  <c r="P215" i="2" s="1"/>
  <c r="J215" i="2"/>
  <c r="O215" i="2" s="1"/>
  <c r="M214" i="2"/>
  <c r="R214" i="2" s="1"/>
  <c r="L214" i="2"/>
  <c r="Q214" i="2" s="1"/>
  <c r="K214" i="2"/>
  <c r="P214" i="2" s="1"/>
  <c r="J214" i="2"/>
  <c r="O214" i="2" s="1"/>
  <c r="M213" i="2"/>
  <c r="R213" i="2" s="1"/>
  <c r="L213" i="2"/>
  <c r="Q213" i="2" s="1"/>
  <c r="K213" i="2"/>
  <c r="P213" i="2" s="1"/>
  <c r="J213" i="2"/>
  <c r="O213" i="2" s="1"/>
  <c r="M212" i="2"/>
  <c r="R212" i="2" s="1"/>
  <c r="L212" i="2"/>
  <c r="Q212" i="2" s="1"/>
  <c r="K212" i="2"/>
  <c r="P212" i="2" s="1"/>
  <c r="J212" i="2"/>
  <c r="O212" i="2" s="1"/>
  <c r="M211" i="2"/>
  <c r="R211" i="2" s="1"/>
  <c r="L211" i="2"/>
  <c r="Q211" i="2" s="1"/>
  <c r="K211" i="2"/>
  <c r="P211" i="2" s="1"/>
  <c r="J211" i="2"/>
  <c r="O211" i="2" s="1"/>
  <c r="M210" i="2"/>
  <c r="R210" i="2" s="1"/>
  <c r="L210" i="2"/>
  <c r="Q210" i="2" s="1"/>
  <c r="K210" i="2"/>
  <c r="P210" i="2" s="1"/>
  <c r="J210" i="2"/>
  <c r="O210" i="2" s="1"/>
  <c r="M209" i="2"/>
  <c r="R209" i="2" s="1"/>
  <c r="L209" i="2"/>
  <c r="Q209" i="2" s="1"/>
  <c r="K209" i="2"/>
  <c r="P209" i="2" s="1"/>
  <c r="J209" i="2"/>
  <c r="O209" i="2" s="1"/>
  <c r="M208" i="2"/>
  <c r="R208" i="2" s="1"/>
  <c r="L208" i="2"/>
  <c r="Q208" i="2" s="1"/>
  <c r="K208" i="2"/>
  <c r="P208" i="2" s="1"/>
  <c r="J208" i="2"/>
  <c r="O208" i="2" s="1"/>
  <c r="M207" i="2"/>
  <c r="R207" i="2" s="1"/>
  <c r="L207" i="2"/>
  <c r="Q207" i="2" s="1"/>
  <c r="K207" i="2"/>
  <c r="P207" i="2" s="1"/>
  <c r="J207" i="2"/>
  <c r="O207" i="2" s="1"/>
  <c r="M206" i="2"/>
  <c r="R206" i="2" s="1"/>
  <c r="L206" i="2"/>
  <c r="Q206" i="2" s="1"/>
  <c r="K206" i="2"/>
  <c r="P206" i="2" s="1"/>
  <c r="J206" i="2"/>
  <c r="O206" i="2" s="1"/>
  <c r="M205" i="2"/>
  <c r="R205" i="2" s="1"/>
  <c r="L205" i="2"/>
  <c r="Q205" i="2" s="1"/>
  <c r="K205" i="2"/>
  <c r="P205" i="2" s="1"/>
  <c r="J205" i="2"/>
  <c r="O205" i="2" s="1"/>
  <c r="M204" i="2"/>
  <c r="R204" i="2" s="1"/>
  <c r="L204" i="2"/>
  <c r="Q204" i="2" s="1"/>
  <c r="K204" i="2"/>
  <c r="P204" i="2" s="1"/>
  <c r="J204" i="2"/>
  <c r="O204" i="2" s="1"/>
  <c r="M203" i="2"/>
  <c r="R203" i="2" s="1"/>
  <c r="L203" i="2"/>
  <c r="Q203" i="2" s="1"/>
  <c r="K203" i="2"/>
  <c r="P203" i="2" s="1"/>
  <c r="J203" i="2"/>
  <c r="O203" i="2" s="1"/>
  <c r="M202" i="2"/>
  <c r="R202" i="2" s="1"/>
  <c r="L202" i="2"/>
  <c r="Q202" i="2" s="1"/>
  <c r="K202" i="2"/>
  <c r="P202" i="2" s="1"/>
  <c r="J202" i="2"/>
  <c r="O202" i="2" s="1"/>
  <c r="M201" i="2"/>
  <c r="R201" i="2" s="1"/>
  <c r="L201" i="2"/>
  <c r="Q201" i="2" s="1"/>
  <c r="K201" i="2"/>
  <c r="P201" i="2" s="1"/>
  <c r="J201" i="2"/>
  <c r="O201" i="2" s="1"/>
  <c r="M200" i="2"/>
  <c r="R200" i="2" s="1"/>
  <c r="L200" i="2"/>
  <c r="Q200" i="2" s="1"/>
  <c r="K200" i="2"/>
  <c r="P200" i="2" s="1"/>
  <c r="J200" i="2"/>
  <c r="O200" i="2" s="1"/>
  <c r="M199" i="2"/>
  <c r="R199" i="2" s="1"/>
  <c r="L199" i="2"/>
  <c r="Q199" i="2" s="1"/>
  <c r="K199" i="2"/>
  <c r="P199" i="2" s="1"/>
  <c r="J199" i="2"/>
  <c r="O199" i="2" s="1"/>
  <c r="M198" i="2"/>
  <c r="R198" i="2" s="1"/>
  <c r="L198" i="2"/>
  <c r="Q198" i="2" s="1"/>
  <c r="K198" i="2"/>
  <c r="P198" i="2" s="1"/>
  <c r="J198" i="2"/>
  <c r="O198" i="2" s="1"/>
  <c r="M197" i="2"/>
  <c r="R197" i="2" s="1"/>
  <c r="L197" i="2"/>
  <c r="Q197" i="2" s="1"/>
  <c r="K197" i="2"/>
  <c r="P197" i="2" s="1"/>
  <c r="J197" i="2"/>
  <c r="O197" i="2" s="1"/>
  <c r="M196" i="2"/>
  <c r="R196" i="2" s="1"/>
  <c r="L196" i="2"/>
  <c r="Q196" i="2" s="1"/>
  <c r="K196" i="2"/>
  <c r="P196" i="2" s="1"/>
  <c r="J196" i="2"/>
  <c r="O196" i="2" s="1"/>
  <c r="M195" i="2"/>
  <c r="R195" i="2" s="1"/>
  <c r="L195" i="2"/>
  <c r="Q195" i="2" s="1"/>
  <c r="K195" i="2"/>
  <c r="P195" i="2" s="1"/>
  <c r="J195" i="2"/>
  <c r="O195" i="2" s="1"/>
  <c r="M194" i="2"/>
  <c r="R194" i="2" s="1"/>
  <c r="L194" i="2"/>
  <c r="Q194" i="2" s="1"/>
  <c r="K194" i="2"/>
  <c r="P194" i="2" s="1"/>
  <c r="J194" i="2"/>
  <c r="O194" i="2" s="1"/>
  <c r="M193" i="2"/>
  <c r="R193" i="2" s="1"/>
  <c r="L193" i="2"/>
  <c r="Q193" i="2" s="1"/>
  <c r="K193" i="2"/>
  <c r="P193" i="2" s="1"/>
  <c r="J193" i="2"/>
  <c r="O193" i="2" s="1"/>
  <c r="M192" i="2"/>
  <c r="R192" i="2" s="1"/>
  <c r="L192" i="2"/>
  <c r="Q192" i="2" s="1"/>
  <c r="K192" i="2"/>
  <c r="P192" i="2" s="1"/>
  <c r="J192" i="2"/>
  <c r="O192" i="2" s="1"/>
  <c r="M191" i="2"/>
  <c r="R191" i="2" s="1"/>
  <c r="L191" i="2"/>
  <c r="Q191" i="2" s="1"/>
  <c r="K191" i="2"/>
  <c r="P191" i="2" s="1"/>
  <c r="J191" i="2"/>
  <c r="O191" i="2" s="1"/>
  <c r="M190" i="2"/>
  <c r="R190" i="2" s="1"/>
  <c r="L190" i="2"/>
  <c r="Q190" i="2" s="1"/>
  <c r="K190" i="2"/>
  <c r="P190" i="2" s="1"/>
  <c r="J190" i="2"/>
  <c r="O190" i="2" s="1"/>
  <c r="M189" i="2"/>
  <c r="R189" i="2" s="1"/>
  <c r="L189" i="2"/>
  <c r="Q189" i="2" s="1"/>
  <c r="K189" i="2"/>
  <c r="P189" i="2" s="1"/>
  <c r="J189" i="2"/>
  <c r="O189" i="2" s="1"/>
  <c r="M188" i="2"/>
  <c r="R188" i="2" s="1"/>
  <c r="L188" i="2"/>
  <c r="Q188" i="2" s="1"/>
  <c r="K188" i="2"/>
  <c r="P188" i="2" s="1"/>
  <c r="J188" i="2"/>
  <c r="O188" i="2" s="1"/>
  <c r="M187" i="2"/>
  <c r="R187" i="2" s="1"/>
  <c r="L187" i="2"/>
  <c r="Q187" i="2" s="1"/>
  <c r="K187" i="2"/>
  <c r="P187" i="2" s="1"/>
  <c r="J187" i="2"/>
  <c r="O187" i="2" s="1"/>
  <c r="M186" i="2"/>
  <c r="R186" i="2" s="1"/>
  <c r="L186" i="2"/>
  <c r="Q186" i="2" s="1"/>
  <c r="K186" i="2"/>
  <c r="P186" i="2" s="1"/>
  <c r="J186" i="2"/>
  <c r="O186" i="2" s="1"/>
  <c r="M185" i="2"/>
  <c r="R185" i="2" s="1"/>
  <c r="L185" i="2"/>
  <c r="Q185" i="2" s="1"/>
  <c r="K185" i="2"/>
  <c r="P185" i="2" s="1"/>
  <c r="J185" i="2"/>
  <c r="O185" i="2" s="1"/>
  <c r="M184" i="2"/>
  <c r="R184" i="2" s="1"/>
  <c r="L184" i="2"/>
  <c r="Q184" i="2" s="1"/>
  <c r="K184" i="2"/>
  <c r="P184" i="2" s="1"/>
  <c r="J184" i="2"/>
  <c r="O184" i="2" s="1"/>
  <c r="M183" i="2"/>
  <c r="R183" i="2" s="1"/>
  <c r="L183" i="2"/>
  <c r="Q183" i="2" s="1"/>
  <c r="K183" i="2"/>
  <c r="P183" i="2" s="1"/>
  <c r="J183" i="2"/>
  <c r="O183" i="2" s="1"/>
  <c r="M182" i="2"/>
  <c r="R182" i="2" s="1"/>
  <c r="L182" i="2"/>
  <c r="Q182" i="2" s="1"/>
  <c r="K182" i="2"/>
  <c r="P182" i="2" s="1"/>
  <c r="J182" i="2"/>
  <c r="O182" i="2" s="1"/>
  <c r="M181" i="2"/>
  <c r="R181" i="2" s="1"/>
  <c r="L181" i="2"/>
  <c r="Q181" i="2" s="1"/>
  <c r="K181" i="2"/>
  <c r="P181" i="2" s="1"/>
  <c r="J181" i="2"/>
  <c r="O181" i="2" s="1"/>
  <c r="M180" i="2"/>
  <c r="R180" i="2" s="1"/>
  <c r="L180" i="2"/>
  <c r="Q180" i="2" s="1"/>
  <c r="K180" i="2"/>
  <c r="P180" i="2" s="1"/>
  <c r="J180" i="2"/>
  <c r="O180" i="2" s="1"/>
  <c r="M179" i="2"/>
  <c r="R179" i="2" s="1"/>
  <c r="L179" i="2"/>
  <c r="Q179" i="2" s="1"/>
  <c r="K179" i="2"/>
  <c r="P179" i="2" s="1"/>
  <c r="J179" i="2"/>
  <c r="O179" i="2" s="1"/>
  <c r="M178" i="2"/>
  <c r="R178" i="2" s="1"/>
  <c r="L178" i="2"/>
  <c r="Q178" i="2" s="1"/>
  <c r="K178" i="2"/>
  <c r="P178" i="2" s="1"/>
  <c r="J178" i="2"/>
  <c r="O178" i="2" s="1"/>
  <c r="M177" i="2"/>
  <c r="R177" i="2" s="1"/>
  <c r="L177" i="2"/>
  <c r="Q177" i="2" s="1"/>
  <c r="K177" i="2"/>
  <c r="P177" i="2" s="1"/>
  <c r="J177" i="2"/>
  <c r="O177" i="2" s="1"/>
  <c r="M176" i="2"/>
  <c r="R176" i="2" s="1"/>
  <c r="L176" i="2"/>
  <c r="Q176" i="2" s="1"/>
  <c r="K176" i="2"/>
  <c r="P176" i="2" s="1"/>
  <c r="J176" i="2"/>
  <c r="O176" i="2" s="1"/>
  <c r="M175" i="2"/>
  <c r="R175" i="2" s="1"/>
  <c r="L175" i="2"/>
  <c r="Q175" i="2" s="1"/>
  <c r="K175" i="2"/>
  <c r="P175" i="2" s="1"/>
  <c r="J175" i="2"/>
  <c r="O175" i="2" s="1"/>
  <c r="M174" i="2"/>
  <c r="R174" i="2" s="1"/>
  <c r="L174" i="2"/>
  <c r="Q174" i="2" s="1"/>
  <c r="K174" i="2"/>
  <c r="P174" i="2" s="1"/>
  <c r="J174" i="2"/>
  <c r="O174" i="2" s="1"/>
  <c r="M173" i="2"/>
  <c r="R173" i="2" s="1"/>
  <c r="L173" i="2"/>
  <c r="Q173" i="2" s="1"/>
  <c r="K173" i="2"/>
  <c r="P173" i="2" s="1"/>
  <c r="J173" i="2"/>
  <c r="O173" i="2" s="1"/>
  <c r="M172" i="2"/>
  <c r="R172" i="2" s="1"/>
  <c r="L172" i="2"/>
  <c r="Q172" i="2" s="1"/>
  <c r="K172" i="2"/>
  <c r="P172" i="2" s="1"/>
  <c r="J172" i="2"/>
  <c r="O172" i="2" s="1"/>
  <c r="M171" i="2"/>
  <c r="R171" i="2" s="1"/>
  <c r="L171" i="2"/>
  <c r="Q171" i="2" s="1"/>
  <c r="K171" i="2"/>
  <c r="P171" i="2" s="1"/>
  <c r="J171" i="2"/>
  <c r="O171" i="2" s="1"/>
  <c r="M170" i="2"/>
  <c r="R170" i="2" s="1"/>
  <c r="L170" i="2"/>
  <c r="Q170" i="2" s="1"/>
  <c r="K170" i="2"/>
  <c r="P170" i="2" s="1"/>
  <c r="J170" i="2"/>
  <c r="O170" i="2" s="1"/>
  <c r="Q169" i="2"/>
  <c r="M169" i="2"/>
  <c r="R169" i="2" s="1"/>
  <c r="L169" i="2"/>
  <c r="K169" i="2"/>
  <c r="P169" i="2" s="1"/>
  <c r="J169" i="2"/>
  <c r="O169" i="2" s="1"/>
  <c r="M168" i="2"/>
  <c r="R168" i="2" s="1"/>
  <c r="L168" i="2"/>
  <c r="Q168" i="2" s="1"/>
  <c r="K168" i="2"/>
  <c r="P168" i="2" s="1"/>
  <c r="J168" i="2"/>
  <c r="O168" i="2" s="1"/>
  <c r="M167" i="2"/>
  <c r="R167" i="2" s="1"/>
  <c r="L167" i="2"/>
  <c r="Q167" i="2" s="1"/>
  <c r="K167" i="2"/>
  <c r="P167" i="2" s="1"/>
  <c r="J167" i="2"/>
  <c r="O167" i="2" s="1"/>
  <c r="M166" i="2"/>
  <c r="R166" i="2" s="1"/>
  <c r="L166" i="2"/>
  <c r="Q166" i="2" s="1"/>
  <c r="K166" i="2"/>
  <c r="P166" i="2" s="1"/>
  <c r="J166" i="2"/>
  <c r="O166" i="2" s="1"/>
  <c r="M165" i="2"/>
  <c r="R165" i="2" s="1"/>
  <c r="L165" i="2"/>
  <c r="Q165" i="2" s="1"/>
  <c r="K165" i="2"/>
  <c r="P165" i="2" s="1"/>
  <c r="J165" i="2"/>
  <c r="O165" i="2" s="1"/>
  <c r="M164" i="2"/>
  <c r="R164" i="2" s="1"/>
  <c r="L164" i="2"/>
  <c r="Q164" i="2" s="1"/>
  <c r="K164" i="2"/>
  <c r="P164" i="2" s="1"/>
  <c r="J164" i="2"/>
  <c r="O164" i="2" s="1"/>
  <c r="M163" i="2"/>
  <c r="R163" i="2" s="1"/>
  <c r="L163" i="2"/>
  <c r="Q163" i="2" s="1"/>
  <c r="K163" i="2"/>
  <c r="P163" i="2" s="1"/>
  <c r="J163" i="2"/>
  <c r="O163" i="2" s="1"/>
  <c r="M162" i="2"/>
  <c r="R162" i="2" s="1"/>
  <c r="L162" i="2"/>
  <c r="Q162" i="2" s="1"/>
  <c r="K162" i="2"/>
  <c r="P162" i="2" s="1"/>
  <c r="J162" i="2"/>
  <c r="O162" i="2" s="1"/>
  <c r="M161" i="2"/>
  <c r="R161" i="2" s="1"/>
  <c r="L161" i="2"/>
  <c r="Q161" i="2" s="1"/>
  <c r="K161" i="2"/>
  <c r="P161" i="2" s="1"/>
  <c r="J161" i="2"/>
  <c r="O161" i="2" s="1"/>
  <c r="M160" i="2"/>
  <c r="R160" i="2" s="1"/>
  <c r="L160" i="2"/>
  <c r="Q160" i="2" s="1"/>
  <c r="K160" i="2"/>
  <c r="P160" i="2" s="1"/>
  <c r="J160" i="2"/>
  <c r="O160" i="2" s="1"/>
  <c r="M159" i="2"/>
  <c r="R159" i="2" s="1"/>
  <c r="L159" i="2"/>
  <c r="Q159" i="2" s="1"/>
  <c r="K159" i="2"/>
  <c r="P159" i="2" s="1"/>
  <c r="J159" i="2"/>
  <c r="O159" i="2" s="1"/>
  <c r="M158" i="2"/>
  <c r="R158" i="2" s="1"/>
  <c r="L158" i="2"/>
  <c r="Q158" i="2" s="1"/>
  <c r="K158" i="2"/>
  <c r="P158" i="2" s="1"/>
  <c r="J158" i="2"/>
  <c r="O158" i="2" s="1"/>
  <c r="M157" i="2"/>
  <c r="R157" i="2" s="1"/>
  <c r="L157" i="2"/>
  <c r="Q157" i="2" s="1"/>
  <c r="K157" i="2"/>
  <c r="P157" i="2" s="1"/>
  <c r="J157" i="2"/>
  <c r="O157" i="2" s="1"/>
  <c r="M156" i="2"/>
  <c r="R156" i="2" s="1"/>
  <c r="L156" i="2"/>
  <c r="Q156" i="2" s="1"/>
  <c r="K156" i="2"/>
  <c r="P156" i="2" s="1"/>
  <c r="J156" i="2"/>
  <c r="O156" i="2" s="1"/>
  <c r="M155" i="2"/>
  <c r="R155" i="2" s="1"/>
  <c r="L155" i="2"/>
  <c r="Q155" i="2" s="1"/>
  <c r="K155" i="2"/>
  <c r="P155" i="2" s="1"/>
  <c r="J155" i="2"/>
  <c r="O155" i="2" s="1"/>
  <c r="M154" i="2"/>
  <c r="R154" i="2" s="1"/>
  <c r="L154" i="2"/>
  <c r="Q154" i="2" s="1"/>
  <c r="K154" i="2"/>
  <c r="P154" i="2" s="1"/>
  <c r="J154" i="2"/>
  <c r="O154" i="2" s="1"/>
  <c r="M153" i="2"/>
  <c r="R153" i="2" s="1"/>
  <c r="L153" i="2"/>
  <c r="Q153" i="2" s="1"/>
  <c r="K153" i="2"/>
  <c r="P153" i="2" s="1"/>
  <c r="J153" i="2"/>
  <c r="O153" i="2" s="1"/>
  <c r="M152" i="2"/>
  <c r="R152" i="2" s="1"/>
  <c r="L152" i="2"/>
  <c r="Q152" i="2" s="1"/>
  <c r="K152" i="2"/>
  <c r="P152" i="2" s="1"/>
  <c r="J152" i="2"/>
  <c r="O152" i="2" s="1"/>
  <c r="M151" i="2"/>
  <c r="R151" i="2" s="1"/>
  <c r="L151" i="2"/>
  <c r="Q151" i="2" s="1"/>
  <c r="K151" i="2"/>
  <c r="P151" i="2" s="1"/>
  <c r="J151" i="2"/>
  <c r="O151" i="2" s="1"/>
  <c r="P150" i="2"/>
  <c r="M150" i="2"/>
  <c r="R150" i="2" s="1"/>
  <c r="L150" i="2"/>
  <c r="Q150" i="2" s="1"/>
  <c r="K150" i="2"/>
  <c r="J150" i="2"/>
  <c r="O150" i="2" s="1"/>
  <c r="M149" i="2"/>
  <c r="R149" i="2" s="1"/>
  <c r="L149" i="2"/>
  <c r="Q149" i="2" s="1"/>
  <c r="K149" i="2"/>
  <c r="P149" i="2" s="1"/>
  <c r="J149" i="2"/>
  <c r="O149" i="2" s="1"/>
  <c r="M148" i="2"/>
  <c r="R148" i="2" s="1"/>
  <c r="L148" i="2"/>
  <c r="Q148" i="2" s="1"/>
  <c r="K148" i="2"/>
  <c r="P148" i="2" s="1"/>
  <c r="J148" i="2"/>
  <c r="O148" i="2" s="1"/>
  <c r="M147" i="2"/>
  <c r="R147" i="2" s="1"/>
  <c r="L147" i="2"/>
  <c r="Q147" i="2" s="1"/>
  <c r="K147" i="2"/>
  <c r="P147" i="2" s="1"/>
  <c r="J147" i="2"/>
  <c r="O147" i="2" s="1"/>
  <c r="M146" i="2"/>
  <c r="R146" i="2" s="1"/>
  <c r="L146" i="2"/>
  <c r="Q146" i="2" s="1"/>
  <c r="K146" i="2"/>
  <c r="P146" i="2" s="1"/>
  <c r="J146" i="2"/>
  <c r="O146" i="2" s="1"/>
  <c r="M145" i="2"/>
  <c r="R145" i="2" s="1"/>
  <c r="L145" i="2"/>
  <c r="Q145" i="2" s="1"/>
  <c r="K145" i="2"/>
  <c r="P145" i="2" s="1"/>
  <c r="J145" i="2"/>
  <c r="O145" i="2" s="1"/>
  <c r="M144" i="2"/>
  <c r="R144" i="2" s="1"/>
  <c r="L144" i="2"/>
  <c r="Q144" i="2" s="1"/>
  <c r="K144" i="2"/>
  <c r="P144" i="2" s="1"/>
  <c r="J144" i="2"/>
  <c r="O144" i="2" s="1"/>
  <c r="M143" i="2"/>
  <c r="R143" i="2" s="1"/>
  <c r="L143" i="2"/>
  <c r="Q143" i="2" s="1"/>
  <c r="K143" i="2"/>
  <c r="P143" i="2" s="1"/>
  <c r="J143" i="2"/>
  <c r="O143" i="2" s="1"/>
  <c r="M142" i="2"/>
  <c r="R142" i="2" s="1"/>
  <c r="L142" i="2"/>
  <c r="Q142" i="2" s="1"/>
  <c r="K142" i="2"/>
  <c r="P142" i="2" s="1"/>
  <c r="J142" i="2"/>
  <c r="O142" i="2" s="1"/>
  <c r="M141" i="2"/>
  <c r="R141" i="2" s="1"/>
  <c r="L141" i="2"/>
  <c r="Q141" i="2" s="1"/>
  <c r="K141" i="2"/>
  <c r="P141" i="2" s="1"/>
  <c r="J141" i="2"/>
  <c r="O141" i="2" s="1"/>
  <c r="M140" i="2"/>
  <c r="R140" i="2" s="1"/>
  <c r="L140" i="2"/>
  <c r="Q140" i="2" s="1"/>
  <c r="K140" i="2"/>
  <c r="P140" i="2" s="1"/>
  <c r="J140" i="2"/>
  <c r="O140" i="2" s="1"/>
  <c r="M139" i="2"/>
  <c r="R139" i="2" s="1"/>
  <c r="L139" i="2"/>
  <c r="Q139" i="2" s="1"/>
  <c r="K139" i="2"/>
  <c r="P139" i="2" s="1"/>
  <c r="J139" i="2"/>
  <c r="O139" i="2" s="1"/>
  <c r="M138" i="2"/>
  <c r="R138" i="2" s="1"/>
  <c r="L138" i="2"/>
  <c r="Q138" i="2" s="1"/>
  <c r="K138" i="2"/>
  <c r="P138" i="2" s="1"/>
  <c r="J138" i="2"/>
  <c r="O138" i="2" s="1"/>
  <c r="M137" i="2"/>
  <c r="R137" i="2" s="1"/>
  <c r="L137" i="2"/>
  <c r="Q137" i="2" s="1"/>
  <c r="K137" i="2"/>
  <c r="P137" i="2" s="1"/>
  <c r="J137" i="2"/>
  <c r="O137" i="2" s="1"/>
  <c r="M136" i="2"/>
  <c r="R136" i="2" s="1"/>
  <c r="L136" i="2"/>
  <c r="Q136" i="2" s="1"/>
  <c r="K136" i="2"/>
  <c r="P136" i="2" s="1"/>
  <c r="J136" i="2"/>
  <c r="O136" i="2" s="1"/>
  <c r="M135" i="2"/>
  <c r="R135" i="2" s="1"/>
  <c r="L135" i="2"/>
  <c r="Q135" i="2" s="1"/>
  <c r="K135" i="2"/>
  <c r="P135" i="2" s="1"/>
  <c r="J135" i="2"/>
  <c r="O135" i="2" s="1"/>
  <c r="M134" i="2"/>
  <c r="R134" i="2" s="1"/>
  <c r="L134" i="2"/>
  <c r="Q134" i="2" s="1"/>
  <c r="K134" i="2"/>
  <c r="P134" i="2" s="1"/>
  <c r="J134" i="2"/>
  <c r="O134" i="2" s="1"/>
  <c r="M133" i="2"/>
  <c r="R133" i="2" s="1"/>
  <c r="L133" i="2"/>
  <c r="Q133" i="2" s="1"/>
  <c r="K133" i="2"/>
  <c r="P133" i="2" s="1"/>
  <c r="J133" i="2"/>
  <c r="O133" i="2" s="1"/>
  <c r="M132" i="2"/>
  <c r="R132" i="2" s="1"/>
  <c r="L132" i="2"/>
  <c r="Q132" i="2" s="1"/>
  <c r="K132" i="2"/>
  <c r="P132" i="2" s="1"/>
  <c r="J132" i="2"/>
  <c r="O132" i="2" s="1"/>
  <c r="M131" i="2"/>
  <c r="R131" i="2" s="1"/>
  <c r="L131" i="2"/>
  <c r="Q131" i="2" s="1"/>
  <c r="K131" i="2"/>
  <c r="P131" i="2" s="1"/>
  <c r="J131" i="2"/>
  <c r="O131" i="2" s="1"/>
  <c r="M130" i="2"/>
  <c r="R130" i="2" s="1"/>
  <c r="L130" i="2"/>
  <c r="Q130" i="2" s="1"/>
  <c r="K130" i="2"/>
  <c r="P130" i="2" s="1"/>
  <c r="J130" i="2"/>
  <c r="O130" i="2" s="1"/>
  <c r="M129" i="2"/>
  <c r="R129" i="2" s="1"/>
  <c r="L129" i="2"/>
  <c r="Q129" i="2" s="1"/>
  <c r="K129" i="2"/>
  <c r="P129" i="2" s="1"/>
  <c r="J129" i="2"/>
  <c r="O129" i="2" s="1"/>
  <c r="M128" i="2"/>
  <c r="R128" i="2" s="1"/>
  <c r="L128" i="2"/>
  <c r="Q128" i="2" s="1"/>
  <c r="K128" i="2"/>
  <c r="P128" i="2" s="1"/>
  <c r="J128" i="2"/>
  <c r="O128" i="2" s="1"/>
  <c r="M127" i="2"/>
  <c r="R127" i="2" s="1"/>
  <c r="L127" i="2"/>
  <c r="Q127" i="2" s="1"/>
  <c r="K127" i="2"/>
  <c r="P127" i="2" s="1"/>
  <c r="J127" i="2"/>
  <c r="O127" i="2" s="1"/>
  <c r="M126" i="2"/>
  <c r="R126" i="2" s="1"/>
  <c r="L126" i="2"/>
  <c r="Q126" i="2" s="1"/>
  <c r="K126" i="2"/>
  <c r="P126" i="2" s="1"/>
  <c r="J126" i="2"/>
  <c r="O126" i="2" s="1"/>
  <c r="M125" i="2"/>
  <c r="R125" i="2" s="1"/>
  <c r="L125" i="2"/>
  <c r="Q125" i="2" s="1"/>
  <c r="K125" i="2"/>
  <c r="P125" i="2" s="1"/>
  <c r="J125" i="2"/>
  <c r="O125" i="2" s="1"/>
  <c r="M124" i="2"/>
  <c r="R124" i="2" s="1"/>
  <c r="L124" i="2"/>
  <c r="Q124" i="2" s="1"/>
  <c r="K124" i="2"/>
  <c r="P124" i="2" s="1"/>
  <c r="J124" i="2"/>
  <c r="O124" i="2" s="1"/>
  <c r="M123" i="2"/>
  <c r="R123" i="2" s="1"/>
  <c r="L123" i="2"/>
  <c r="Q123" i="2" s="1"/>
  <c r="K123" i="2"/>
  <c r="P123" i="2" s="1"/>
  <c r="J123" i="2"/>
  <c r="O123" i="2" s="1"/>
  <c r="M122" i="2"/>
  <c r="R122" i="2" s="1"/>
  <c r="L122" i="2"/>
  <c r="Q122" i="2" s="1"/>
  <c r="K122" i="2"/>
  <c r="P122" i="2" s="1"/>
  <c r="J122" i="2"/>
  <c r="O122" i="2" s="1"/>
  <c r="M121" i="2"/>
  <c r="R121" i="2" s="1"/>
  <c r="L121" i="2"/>
  <c r="Q121" i="2" s="1"/>
  <c r="K121" i="2"/>
  <c r="P121" i="2" s="1"/>
  <c r="J121" i="2"/>
  <c r="O121" i="2" s="1"/>
  <c r="M120" i="2"/>
  <c r="R120" i="2" s="1"/>
  <c r="L120" i="2"/>
  <c r="Q120" i="2" s="1"/>
  <c r="K120" i="2"/>
  <c r="P120" i="2" s="1"/>
  <c r="J120" i="2"/>
  <c r="O120" i="2" s="1"/>
  <c r="M119" i="2"/>
  <c r="R119" i="2" s="1"/>
  <c r="L119" i="2"/>
  <c r="Q119" i="2" s="1"/>
  <c r="K119" i="2"/>
  <c r="P119" i="2" s="1"/>
  <c r="J119" i="2"/>
  <c r="O119" i="2" s="1"/>
  <c r="M118" i="2"/>
  <c r="R118" i="2" s="1"/>
  <c r="L118" i="2"/>
  <c r="Q118" i="2" s="1"/>
  <c r="K118" i="2"/>
  <c r="P118" i="2" s="1"/>
  <c r="J118" i="2"/>
  <c r="O118" i="2" s="1"/>
  <c r="M117" i="2"/>
  <c r="R117" i="2" s="1"/>
  <c r="L117" i="2"/>
  <c r="Q117" i="2" s="1"/>
  <c r="K117" i="2"/>
  <c r="P117" i="2" s="1"/>
  <c r="J117" i="2"/>
  <c r="O117" i="2" s="1"/>
  <c r="M116" i="2"/>
  <c r="R116" i="2" s="1"/>
  <c r="L116" i="2"/>
  <c r="Q116" i="2" s="1"/>
  <c r="K116" i="2"/>
  <c r="P116" i="2" s="1"/>
  <c r="J116" i="2"/>
  <c r="O116" i="2" s="1"/>
  <c r="M115" i="2"/>
  <c r="R115" i="2" s="1"/>
  <c r="L115" i="2"/>
  <c r="Q115" i="2" s="1"/>
  <c r="K115" i="2"/>
  <c r="P115" i="2" s="1"/>
  <c r="J115" i="2"/>
  <c r="O115" i="2" s="1"/>
  <c r="M114" i="2"/>
  <c r="R114" i="2" s="1"/>
  <c r="L114" i="2"/>
  <c r="Q114" i="2" s="1"/>
  <c r="K114" i="2"/>
  <c r="P114" i="2" s="1"/>
  <c r="J114" i="2"/>
  <c r="O114" i="2" s="1"/>
  <c r="M113" i="2"/>
  <c r="R113" i="2" s="1"/>
  <c r="L113" i="2"/>
  <c r="Q113" i="2" s="1"/>
  <c r="K113" i="2"/>
  <c r="P113" i="2" s="1"/>
  <c r="J113" i="2"/>
  <c r="O113" i="2" s="1"/>
  <c r="M112" i="2"/>
  <c r="R112" i="2" s="1"/>
  <c r="L112" i="2"/>
  <c r="Q112" i="2" s="1"/>
  <c r="K112" i="2"/>
  <c r="P112" i="2" s="1"/>
  <c r="J112" i="2"/>
  <c r="O112" i="2" s="1"/>
  <c r="M111" i="2"/>
  <c r="R111" i="2" s="1"/>
  <c r="L111" i="2"/>
  <c r="Q111" i="2" s="1"/>
  <c r="K111" i="2"/>
  <c r="P111" i="2" s="1"/>
  <c r="J111" i="2"/>
  <c r="O111" i="2" s="1"/>
  <c r="M110" i="2"/>
  <c r="R110" i="2" s="1"/>
  <c r="L110" i="2"/>
  <c r="Q110" i="2" s="1"/>
  <c r="K110" i="2"/>
  <c r="P110" i="2" s="1"/>
  <c r="J110" i="2"/>
  <c r="O110" i="2" s="1"/>
  <c r="M109" i="2"/>
  <c r="R109" i="2" s="1"/>
  <c r="L109" i="2"/>
  <c r="Q109" i="2" s="1"/>
  <c r="K109" i="2"/>
  <c r="P109" i="2" s="1"/>
  <c r="J109" i="2"/>
  <c r="O109" i="2" s="1"/>
  <c r="M108" i="2"/>
  <c r="R108" i="2" s="1"/>
  <c r="L108" i="2"/>
  <c r="Q108" i="2" s="1"/>
  <c r="K108" i="2"/>
  <c r="P108" i="2" s="1"/>
  <c r="J108" i="2"/>
  <c r="O108" i="2" s="1"/>
  <c r="M107" i="2"/>
  <c r="R107" i="2" s="1"/>
  <c r="L107" i="2"/>
  <c r="Q107" i="2" s="1"/>
  <c r="K107" i="2"/>
  <c r="P107" i="2" s="1"/>
  <c r="J107" i="2"/>
  <c r="O107" i="2" s="1"/>
  <c r="M106" i="2"/>
  <c r="R106" i="2" s="1"/>
  <c r="L106" i="2"/>
  <c r="Q106" i="2" s="1"/>
  <c r="K106" i="2"/>
  <c r="P106" i="2" s="1"/>
  <c r="J106" i="2"/>
  <c r="O106" i="2" s="1"/>
  <c r="M105" i="2"/>
  <c r="R105" i="2" s="1"/>
  <c r="L105" i="2"/>
  <c r="Q105" i="2" s="1"/>
  <c r="K105" i="2"/>
  <c r="P105" i="2" s="1"/>
  <c r="J105" i="2"/>
  <c r="O105" i="2" s="1"/>
  <c r="M104" i="2"/>
  <c r="R104" i="2" s="1"/>
  <c r="L104" i="2"/>
  <c r="Q104" i="2" s="1"/>
  <c r="K104" i="2"/>
  <c r="P104" i="2" s="1"/>
  <c r="J104" i="2"/>
  <c r="O104" i="2" s="1"/>
  <c r="M103" i="2"/>
  <c r="R103" i="2" s="1"/>
  <c r="L103" i="2"/>
  <c r="Q103" i="2" s="1"/>
  <c r="K103" i="2"/>
  <c r="P103" i="2" s="1"/>
  <c r="J103" i="2"/>
  <c r="O103" i="2" s="1"/>
  <c r="M102" i="2"/>
  <c r="R102" i="2" s="1"/>
  <c r="L102" i="2"/>
  <c r="Q102" i="2" s="1"/>
  <c r="K102" i="2"/>
  <c r="P102" i="2" s="1"/>
  <c r="J102" i="2"/>
  <c r="O102" i="2" s="1"/>
  <c r="M101" i="2"/>
  <c r="R101" i="2" s="1"/>
  <c r="L101" i="2"/>
  <c r="Q101" i="2" s="1"/>
  <c r="K101" i="2"/>
  <c r="P101" i="2" s="1"/>
  <c r="J101" i="2"/>
  <c r="O101" i="2" s="1"/>
  <c r="M100" i="2"/>
  <c r="R100" i="2" s="1"/>
  <c r="L100" i="2"/>
  <c r="Q100" i="2" s="1"/>
  <c r="K100" i="2"/>
  <c r="P100" i="2" s="1"/>
  <c r="J100" i="2"/>
  <c r="O100" i="2" s="1"/>
  <c r="M99" i="2"/>
  <c r="R99" i="2" s="1"/>
  <c r="L99" i="2"/>
  <c r="Q99" i="2" s="1"/>
  <c r="K99" i="2"/>
  <c r="P99" i="2" s="1"/>
  <c r="J99" i="2"/>
  <c r="O99" i="2" s="1"/>
  <c r="M98" i="2"/>
  <c r="R98" i="2" s="1"/>
  <c r="L98" i="2"/>
  <c r="Q98" i="2" s="1"/>
  <c r="K98" i="2"/>
  <c r="P98" i="2" s="1"/>
  <c r="J98" i="2"/>
  <c r="O98" i="2" s="1"/>
  <c r="M97" i="2"/>
  <c r="R97" i="2" s="1"/>
  <c r="L97" i="2"/>
  <c r="Q97" i="2" s="1"/>
  <c r="K97" i="2"/>
  <c r="P97" i="2" s="1"/>
  <c r="J97" i="2"/>
  <c r="O97" i="2" s="1"/>
  <c r="M96" i="2"/>
  <c r="R96" i="2" s="1"/>
  <c r="L96" i="2"/>
  <c r="Q96" i="2" s="1"/>
  <c r="K96" i="2"/>
  <c r="P96" i="2" s="1"/>
  <c r="J96" i="2"/>
  <c r="O96" i="2" s="1"/>
  <c r="M95" i="2"/>
  <c r="R95" i="2" s="1"/>
  <c r="L95" i="2"/>
  <c r="Q95" i="2" s="1"/>
  <c r="K95" i="2"/>
  <c r="P95" i="2" s="1"/>
  <c r="J95" i="2"/>
  <c r="O95" i="2" s="1"/>
  <c r="M94" i="2"/>
  <c r="R94" i="2" s="1"/>
  <c r="L94" i="2"/>
  <c r="Q94" i="2" s="1"/>
  <c r="K94" i="2"/>
  <c r="P94" i="2" s="1"/>
  <c r="J94" i="2"/>
  <c r="O94" i="2" s="1"/>
  <c r="M93" i="2"/>
  <c r="R93" i="2" s="1"/>
  <c r="L93" i="2"/>
  <c r="Q93" i="2" s="1"/>
  <c r="K93" i="2"/>
  <c r="P93" i="2" s="1"/>
  <c r="J93" i="2"/>
  <c r="O93" i="2" s="1"/>
  <c r="M92" i="2"/>
  <c r="R92" i="2" s="1"/>
  <c r="L92" i="2"/>
  <c r="Q92" i="2" s="1"/>
  <c r="K92" i="2"/>
  <c r="P92" i="2" s="1"/>
  <c r="J92" i="2"/>
  <c r="O92" i="2" s="1"/>
  <c r="M91" i="2"/>
  <c r="R91" i="2" s="1"/>
  <c r="L91" i="2"/>
  <c r="Q91" i="2" s="1"/>
  <c r="K91" i="2"/>
  <c r="P91" i="2" s="1"/>
  <c r="J91" i="2"/>
  <c r="O91" i="2" s="1"/>
  <c r="M90" i="2"/>
  <c r="R90" i="2" s="1"/>
  <c r="L90" i="2"/>
  <c r="Q90" i="2" s="1"/>
  <c r="K90" i="2"/>
  <c r="P90" i="2" s="1"/>
  <c r="J90" i="2"/>
  <c r="O90" i="2" s="1"/>
  <c r="M89" i="2"/>
  <c r="R89" i="2" s="1"/>
  <c r="L89" i="2"/>
  <c r="Q89" i="2" s="1"/>
  <c r="K89" i="2"/>
  <c r="P89" i="2" s="1"/>
  <c r="J89" i="2"/>
  <c r="O89" i="2" s="1"/>
  <c r="M88" i="2"/>
  <c r="R88" i="2" s="1"/>
  <c r="L88" i="2"/>
  <c r="Q88" i="2" s="1"/>
  <c r="K88" i="2"/>
  <c r="P88" i="2" s="1"/>
  <c r="J88" i="2"/>
  <c r="O88" i="2" s="1"/>
  <c r="M87" i="2"/>
  <c r="R87" i="2" s="1"/>
  <c r="L87" i="2"/>
  <c r="Q87" i="2" s="1"/>
  <c r="K87" i="2"/>
  <c r="P87" i="2" s="1"/>
  <c r="J87" i="2"/>
  <c r="O87" i="2" s="1"/>
  <c r="M86" i="2"/>
  <c r="R86" i="2" s="1"/>
  <c r="L86" i="2"/>
  <c r="Q86" i="2" s="1"/>
  <c r="K86" i="2"/>
  <c r="P86" i="2" s="1"/>
  <c r="J86" i="2"/>
  <c r="O86" i="2" s="1"/>
  <c r="M85" i="2"/>
  <c r="R85" i="2" s="1"/>
  <c r="L85" i="2"/>
  <c r="Q85" i="2" s="1"/>
  <c r="K85" i="2"/>
  <c r="P85" i="2" s="1"/>
  <c r="J85" i="2"/>
  <c r="O85" i="2" s="1"/>
  <c r="M84" i="2"/>
  <c r="R84" i="2" s="1"/>
  <c r="L84" i="2"/>
  <c r="Q84" i="2" s="1"/>
  <c r="K84" i="2"/>
  <c r="P84" i="2" s="1"/>
  <c r="J84" i="2"/>
  <c r="O84" i="2" s="1"/>
  <c r="M83" i="2"/>
  <c r="R83" i="2" s="1"/>
  <c r="L83" i="2"/>
  <c r="Q83" i="2" s="1"/>
  <c r="K83" i="2"/>
  <c r="P83" i="2" s="1"/>
  <c r="J83" i="2"/>
  <c r="O83" i="2" s="1"/>
  <c r="M82" i="2"/>
  <c r="R82" i="2" s="1"/>
  <c r="L82" i="2"/>
  <c r="Q82" i="2" s="1"/>
  <c r="K82" i="2"/>
  <c r="P82" i="2" s="1"/>
  <c r="J82" i="2"/>
  <c r="O82" i="2" s="1"/>
  <c r="M81" i="2"/>
  <c r="R81" i="2" s="1"/>
  <c r="L81" i="2"/>
  <c r="Q81" i="2" s="1"/>
  <c r="K81" i="2"/>
  <c r="P81" i="2" s="1"/>
  <c r="J81" i="2"/>
  <c r="O81" i="2" s="1"/>
  <c r="M80" i="2"/>
  <c r="R80" i="2" s="1"/>
  <c r="L80" i="2"/>
  <c r="Q80" i="2" s="1"/>
  <c r="K80" i="2"/>
  <c r="P80" i="2" s="1"/>
  <c r="J80" i="2"/>
  <c r="O80" i="2" s="1"/>
  <c r="M79" i="2"/>
  <c r="R79" i="2" s="1"/>
  <c r="L79" i="2"/>
  <c r="Q79" i="2" s="1"/>
  <c r="K79" i="2"/>
  <c r="P79" i="2" s="1"/>
  <c r="J79" i="2"/>
  <c r="O79" i="2" s="1"/>
  <c r="M78" i="2"/>
  <c r="R78" i="2" s="1"/>
  <c r="L78" i="2"/>
  <c r="Q78" i="2" s="1"/>
  <c r="K78" i="2"/>
  <c r="P78" i="2" s="1"/>
  <c r="J78" i="2"/>
  <c r="O78" i="2" s="1"/>
  <c r="M77" i="2"/>
  <c r="R77" i="2" s="1"/>
  <c r="L77" i="2"/>
  <c r="Q77" i="2" s="1"/>
  <c r="K77" i="2"/>
  <c r="P77" i="2" s="1"/>
  <c r="J77" i="2"/>
  <c r="O77" i="2" s="1"/>
  <c r="M76" i="2"/>
  <c r="R76" i="2" s="1"/>
  <c r="L76" i="2"/>
  <c r="Q76" i="2" s="1"/>
  <c r="K76" i="2"/>
  <c r="P76" i="2" s="1"/>
  <c r="J76" i="2"/>
  <c r="O76" i="2" s="1"/>
  <c r="M75" i="2"/>
  <c r="R75" i="2" s="1"/>
  <c r="L75" i="2"/>
  <c r="Q75" i="2" s="1"/>
  <c r="K75" i="2"/>
  <c r="P75" i="2" s="1"/>
  <c r="J75" i="2"/>
  <c r="O75" i="2" s="1"/>
  <c r="M74" i="2"/>
  <c r="R74" i="2" s="1"/>
  <c r="L74" i="2"/>
  <c r="Q74" i="2" s="1"/>
  <c r="K74" i="2"/>
  <c r="P74" i="2" s="1"/>
  <c r="J74" i="2"/>
  <c r="O74" i="2" s="1"/>
  <c r="M73" i="2"/>
  <c r="R73" i="2" s="1"/>
  <c r="L73" i="2"/>
  <c r="Q73" i="2" s="1"/>
  <c r="K73" i="2"/>
  <c r="P73" i="2" s="1"/>
  <c r="J73" i="2"/>
  <c r="O73" i="2" s="1"/>
  <c r="M72" i="2"/>
  <c r="R72" i="2" s="1"/>
  <c r="L72" i="2"/>
  <c r="Q72" i="2" s="1"/>
  <c r="K72" i="2"/>
  <c r="P72" i="2" s="1"/>
  <c r="J72" i="2"/>
  <c r="O72" i="2" s="1"/>
  <c r="M71" i="2"/>
  <c r="R71" i="2" s="1"/>
  <c r="L71" i="2"/>
  <c r="Q71" i="2" s="1"/>
  <c r="K71" i="2"/>
  <c r="P71" i="2" s="1"/>
  <c r="J71" i="2"/>
  <c r="O71" i="2" s="1"/>
  <c r="M70" i="2"/>
  <c r="R70" i="2" s="1"/>
  <c r="L70" i="2"/>
  <c r="Q70" i="2" s="1"/>
  <c r="K70" i="2"/>
  <c r="P70" i="2" s="1"/>
  <c r="J70" i="2"/>
  <c r="O70" i="2" s="1"/>
  <c r="M69" i="2"/>
  <c r="R69" i="2" s="1"/>
  <c r="L69" i="2"/>
  <c r="Q69" i="2" s="1"/>
  <c r="K69" i="2"/>
  <c r="P69" i="2" s="1"/>
  <c r="J69" i="2"/>
  <c r="O69" i="2" s="1"/>
  <c r="M68" i="2"/>
  <c r="R68" i="2" s="1"/>
  <c r="L68" i="2"/>
  <c r="Q68" i="2" s="1"/>
  <c r="K68" i="2"/>
  <c r="P68" i="2" s="1"/>
  <c r="J68" i="2"/>
  <c r="O68" i="2" s="1"/>
  <c r="M67" i="2"/>
  <c r="R67" i="2" s="1"/>
  <c r="L67" i="2"/>
  <c r="Q67" i="2" s="1"/>
  <c r="K67" i="2"/>
  <c r="P67" i="2" s="1"/>
  <c r="J67" i="2"/>
  <c r="O67" i="2" s="1"/>
  <c r="M66" i="2"/>
  <c r="R66" i="2" s="1"/>
  <c r="L66" i="2"/>
  <c r="Q66" i="2" s="1"/>
  <c r="K66" i="2"/>
  <c r="P66" i="2" s="1"/>
  <c r="J66" i="2"/>
  <c r="O66" i="2" s="1"/>
  <c r="M65" i="2"/>
  <c r="R65" i="2" s="1"/>
  <c r="L65" i="2"/>
  <c r="Q65" i="2" s="1"/>
  <c r="K65" i="2"/>
  <c r="P65" i="2" s="1"/>
  <c r="J65" i="2"/>
  <c r="O65" i="2" s="1"/>
  <c r="M64" i="2"/>
  <c r="R64" i="2" s="1"/>
  <c r="L64" i="2"/>
  <c r="Q64" i="2" s="1"/>
  <c r="K64" i="2"/>
  <c r="P64" i="2" s="1"/>
  <c r="J64" i="2"/>
  <c r="O64" i="2" s="1"/>
  <c r="M63" i="2"/>
  <c r="R63" i="2" s="1"/>
  <c r="L63" i="2"/>
  <c r="Q63" i="2" s="1"/>
  <c r="K63" i="2"/>
  <c r="P63" i="2" s="1"/>
  <c r="J63" i="2"/>
  <c r="O63" i="2" s="1"/>
  <c r="M62" i="2"/>
  <c r="R62" i="2" s="1"/>
  <c r="L62" i="2"/>
  <c r="Q62" i="2" s="1"/>
  <c r="K62" i="2"/>
  <c r="P62" i="2" s="1"/>
  <c r="J62" i="2"/>
  <c r="O62" i="2" s="1"/>
  <c r="M61" i="2"/>
  <c r="R61" i="2" s="1"/>
  <c r="L61" i="2"/>
  <c r="Q61" i="2" s="1"/>
  <c r="K61" i="2"/>
  <c r="P61" i="2" s="1"/>
  <c r="J61" i="2"/>
  <c r="O61" i="2" s="1"/>
  <c r="M60" i="2"/>
  <c r="R60" i="2" s="1"/>
  <c r="L60" i="2"/>
  <c r="Q60" i="2" s="1"/>
  <c r="K60" i="2"/>
  <c r="P60" i="2" s="1"/>
  <c r="J60" i="2"/>
  <c r="O60" i="2" s="1"/>
  <c r="M59" i="2"/>
  <c r="R59" i="2" s="1"/>
  <c r="L59" i="2"/>
  <c r="Q59" i="2" s="1"/>
  <c r="K59" i="2"/>
  <c r="P59" i="2" s="1"/>
  <c r="J59" i="2"/>
  <c r="O59" i="2" s="1"/>
  <c r="M58" i="2"/>
  <c r="R58" i="2" s="1"/>
  <c r="L58" i="2"/>
  <c r="Q58" i="2" s="1"/>
  <c r="K58" i="2"/>
  <c r="P58" i="2" s="1"/>
  <c r="J58" i="2"/>
  <c r="O58" i="2" s="1"/>
  <c r="M57" i="2"/>
  <c r="R57" i="2" s="1"/>
  <c r="L57" i="2"/>
  <c r="Q57" i="2" s="1"/>
  <c r="K57" i="2"/>
  <c r="P57" i="2" s="1"/>
  <c r="J57" i="2"/>
  <c r="O57" i="2" s="1"/>
  <c r="M56" i="2"/>
  <c r="R56" i="2" s="1"/>
  <c r="L56" i="2"/>
  <c r="Q56" i="2" s="1"/>
  <c r="K56" i="2"/>
  <c r="P56" i="2" s="1"/>
  <c r="J56" i="2"/>
  <c r="O56" i="2" s="1"/>
  <c r="M55" i="2"/>
  <c r="R55" i="2" s="1"/>
  <c r="L55" i="2"/>
  <c r="Q55" i="2" s="1"/>
  <c r="K55" i="2"/>
  <c r="P55" i="2" s="1"/>
  <c r="J55" i="2"/>
  <c r="O55" i="2" s="1"/>
  <c r="M54" i="2"/>
  <c r="R54" i="2" s="1"/>
  <c r="L54" i="2"/>
  <c r="Q54" i="2" s="1"/>
  <c r="K54" i="2"/>
  <c r="P54" i="2" s="1"/>
  <c r="J54" i="2"/>
  <c r="O54" i="2" s="1"/>
  <c r="M53" i="2"/>
  <c r="R53" i="2" s="1"/>
  <c r="L53" i="2"/>
  <c r="Q53" i="2" s="1"/>
  <c r="K53" i="2"/>
  <c r="P53" i="2" s="1"/>
  <c r="J53" i="2"/>
  <c r="O53" i="2" s="1"/>
  <c r="M52" i="2"/>
  <c r="R52" i="2" s="1"/>
  <c r="L52" i="2"/>
  <c r="Q52" i="2" s="1"/>
  <c r="K52" i="2"/>
  <c r="P52" i="2" s="1"/>
  <c r="J52" i="2"/>
  <c r="O52" i="2" s="1"/>
  <c r="M51" i="2"/>
  <c r="R51" i="2" s="1"/>
  <c r="L51" i="2"/>
  <c r="Q51" i="2" s="1"/>
  <c r="K51" i="2"/>
  <c r="P51" i="2" s="1"/>
  <c r="J51" i="2"/>
  <c r="O51" i="2" s="1"/>
  <c r="M50" i="2"/>
  <c r="R50" i="2" s="1"/>
  <c r="L50" i="2"/>
  <c r="Q50" i="2" s="1"/>
  <c r="K50" i="2"/>
  <c r="P50" i="2" s="1"/>
  <c r="J50" i="2"/>
  <c r="O50" i="2" s="1"/>
  <c r="L477" i="1"/>
  <c r="Q477" i="1" s="1"/>
  <c r="K477" i="1"/>
  <c r="P477" i="1" s="1"/>
  <c r="J477" i="1"/>
  <c r="O477" i="1" s="1"/>
  <c r="I477" i="1"/>
  <c r="N477" i="1" s="1"/>
  <c r="L476" i="1"/>
  <c r="Q476" i="1" s="1"/>
  <c r="K476" i="1"/>
  <c r="P476" i="1" s="1"/>
  <c r="J476" i="1"/>
  <c r="O476" i="1" s="1"/>
  <c r="I476" i="1"/>
  <c r="N476" i="1" s="1"/>
  <c r="L475" i="1"/>
  <c r="Q475" i="1" s="1"/>
  <c r="K475" i="1"/>
  <c r="P475" i="1" s="1"/>
  <c r="J475" i="1"/>
  <c r="O475" i="1" s="1"/>
  <c r="I475" i="1"/>
  <c r="N475" i="1" s="1"/>
  <c r="L474" i="1"/>
  <c r="Q474" i="1" s="1"/>
  <c r="K474" i="1"/>
  <c r="P474" i="1" s="1"/>
  <c r="J474" i="1"/>
  <c r="O474" i="1" s="1"/>
  <c r="I474" i="1"/>
  <c r="N474" i="1" s="1"/>
  <c r="L473" i="1"/>
  <c r="Q473" i="1" s="1"/>
  <c r="K473" i="1"/>
  <c r="P473" i="1" s="1"/>
  <c r="J473" i="1"/>
  <c r="O473" i="1" s="1"/>
  <c r="I473" i="1"/>
  <c r="N473" i="1" s="1"/>
  <c r="L472" i="1"/>
  <c r="Q472" i="1" s="1"/>
  <c r="K472" i="1"/>
  <c r="P472" i="1" s="1"/>
  <c r="J472" i="1"/>
  <c r="O472" i="1" s="1"/>
  <c r="I472" i="1"/>
  <c r="N472" i="1" s="1"/>
  <c r="L471" i="1"/>
  <c r="Q471" i="1" s="1"/>
  <c r="K471" i="1"/>
  <c r="P471" i="1" s="1"/>
  <c r="J471" i="1"/>
  <c r="O471" i="1" s="1"/>
  <c r="I471" i="1"/>
  <c r="N471" i="1" s="1"/>
  <c r="L470" i="1"/>
  <c r="Q470" i="1" s="1"/>
  <c r="K470" i="1"/>
  <c r="P470" i="1" s="1"/>
  <c r="J470" i="1"/>
  <c r="O470" i="1" s="1"/>
  <c r="I470" i="1"/>
  <c r="N470" i="1" s="1"/>
  <c r="L469" i="1"/>
  <c r="Q469" i="1" s="1"/>
  <c r="K469" i="1"/>
  <c r="P469" i="1" s="1"/>
  <c r="J469" i="1"/>
  <c r="O469" i="1" s="1"/>
  <c r="I469" i="1"/>
  <c r="N469" i="1" s="1"/>
  <c r="L468" i="1"/>
  <c r="Q468" i="1" s="1"/>
  <c r="K468" i="1"/>
  <c r="P468" i="1" s="1"/>
  <c r="J468" i="1"/>
  <c r="O468" i="1" s="1"/>
  <c r="I468" i="1"/>
  <c r="N468" i="1" s="1"/>
  <c r="L467" i="1"/>
  <c r="Q467" i="1" s="1"/>
  <c r="K467" i="1"/>
  <c r="P467" i="1" s="1"/>
  <c r="J467" i="1"/>
  <c r="O467" i="1" s="1"/>
  <c r="I467" i="1"/>
  <c r="N467" i="1" s="1"/>
  <c r="L466" i="1"/>
  <c r="Q466" i="1" s="1"/>
  <c r="K466" i="1"/>
  <c r="P466" i="1" s="1"/>
  <c r="J466" i="1"/>
  <c r="O466" i="1" s="1"/>
  <c r="I466" i="1"/>
  <c r="N466" i="1" s="1"/>
  <c r="L465" i="1"/>
  <c r="Q465" i="1" s="1"/>
  <c r="K465" i="1"/>
  <c r="P465" i="1" s="1"/>
  <c r="J465" i="1"/>
  <c r="O465" i="1" s="1"/>
  <c r="I465" i="1"/>
  <c r="N465" i="1" s="1"/>
  <c r="L464" i="1"/>
  <c r="Q464" i="1" s="1"/>
  <c r="K464" i="1"/>
  <c r="P464" i="1" s="1"/>
  <c r="J464" i="1"/>
  <c r="O464" i="1" s="1"/>
  <c r="I464" i="1"/>
  <c r="N464" i="1" s="1"/>
  <c r="K58" i="1"/>
  <c r="L463" i="1"/>
  <c r="Q463" i="1" s="1"/>
  <c r="K463" i="1"/>
  <c r="P463" i="1" s="1"/>
  <c r="J463" i="1"/>
  <c r="O463" i="1" s="1"/>
  <c r="I463" i="1"/>
  <c r="N463" i="1" s="1"/>
  <c r="L462" i="1"/>
  <c r="Q462" i="1" s="1"/>
  <c r="K462" i="1"/>
  <c r="P462" i="1" s="1"/>
  <c r="J462" i="1"/>
  <c r="O462" i="1" s="1"/>
  <c r="I462" i="1"/>
  <c r="N462" i="1" s="1"/>
  <c r="L461" i="1"/>
  <c r="Q461" i="1" s="1"/>
  <c r="K461" i="1"/>
  <c r="P461" i="1" s="1"/>
  <c r="J461" i="1"/>
  <c r="O461" i="1" s="1"/>
  <c r="I461" i="1"/>
  <c r="N461" i="1" s="1"/>
  <c r="L460" i="1"/>
  <c r="Q460" i="1" s="1"/>
  <c r="K460" i="1"/>
  <c r="P460" i="1" s="1"/>
  <c r="J460" i="1"/>
  <c r="O460" i="1" s="1"/>
  <c r="I460" i="1"/>
  <c r="N460" i="1" s="1"/>
  <c r="L459" i="1"/>
  <c r="Q459" i="1" s="1"/>
  <c r="K459" i="1"/>
  <c r="P459" i="1" s="1"/>
  <c r="J459" i="1"/>
  <c r="O459" i="1" s="1"/>
  <c r="I459" i="1"/>
  <c r="N459" i="1" s="1"/>
  <c r="L458" i="1"/>
  <c r="Q458" i="1" s="1"/>
  <c r="K458" i="1"/>
  <c r="P458" i="1" s="1"/>
  <c r="J458" i="1"/>
  <c r="O458" i="1" s="1"/>
  <c r="I458" i="1"/>
  <c r="N458" i="1" s="1"/>
  <c r="L457" i="1"/>
  <c r="Q457" i="1" s="1"/>
  <c r="K457" i="1"/>
  <c r="P457" i="1" s="1"/>
  <c r="J457" i="1"/>
  <c r="O457" i="1" s="1"/>
  <c r="I457" i="1"/>
  <c r="N457" i="1" s="1"/>
  <c r="L456" i="1"/>
  <c r="Q456" i="1" s="1"/>
  <c r="K456" i="1"/>
  <c r="P456" i="1" s="1"/>
  <c r="J456" i="1"/>
  <c r="O456" i="1" s="1"/>
  <c r="I456" i="1"/>
  <c r="N456" i="1" s="1"/>
  <c r="L455" i="1"/>
  <c r="Q455" i="1" s="1"/>
  <c r="K455" i="1"/>
  <c r="P455" i="1" s="1"/>
  <c r="J455" i="1"/>
  <c r="O455" i="1" s="1"/>
  <c r="I455" i="1"/>
  <c r="N455" i="1" s="1"/>
  <c r="L454" i="1"/>
  <c r="Q454" i="1" s="1"/>
  <c r="K454" i="1"/>
  <c r="P454" i="1" s="1"/>
  <c r="J454" i="1"/>
  <c r="O454" i="1" s="1"/>
  <c r="I454" i="1"/>
  <c r="N454" i="1" s="1"/>
  <c r="L453" i="1"/>
  <c r="Q453" i="1" s="1"/>
  <c r="K453" i="1"/>
  <c r="P453" i="1" s="1"/>
  <c r="J453" i="1"/>
  <c r="O453" i="1" s="1"/>
  <c r="I453" i="1"/>
  <c r="N453" i="1" s="1"/>
  <c r="L452" i="1"/>
  <c r="Q452" i="1" s="1"/>
  <c r="K452" i="1"/>
  <c r="P452" i="1" s="1"/>
  <c r="J452" i="1"/>
  <c r="O452" i="1" s="1"/>
  <c r="I452" i="1"/>
  <c r="N452" i="1" s="1"/>
  <c r="L451" i="1"/>
  <c r="Q451" i="1" s="1"/>
  <c r="K451" i="1"/>
  <c r="P451" i="1" s="1"/>
  <c r="J451" i="1"/>
  <c r="O451" i="1" s="1"/>
  <c r="I451" i="1"/>
  <c r="N451" i="1" s="1"/>
  <c r="L450" i="1"/>
  <c r="Q450" i="1" s="1"/>
  <c r="K450" i="1"/>
  <c r="P450" i="1" s="1"/>
  <c r="J450" i="1"/>
  <c r="O450" i="1" s="1"/>
  <c r="I450" i="1"/>
  <c r="N450" i="1" s="1"/>
  <c r="L449" i="1"/>
  <c r="Q449" i="1" s="1"/>
  <c r="K449" i="1"/>
  <c r="P449" i="1" s="1"/>
  <c r="J449" i="1"/>
  <c r="O449" i="1" s="1"/>
  <c r="I449" i="1"/>
  <c r="N449" i="1" s="1"/>
  <c r="L448" i="1"/>
  <c r="Q448" i="1" s="1"/>
  <c r="K448" i="1"/>
  <c r="P448" i="1" s="1"/>
  <c r="J448" i="1"/>
  <c r="O448" i="1" s="1"/>
  <c r="I448" i="1"/>
  <c r="N448" i="1" s="1"/>
  <c r="L447" i="1"/>
  <c r="Q447" i="1" s="1"/>
  <c r="K447" i="1"/>
  <c r="P447" i="1" s="1"/>
  <c r="J447" i="1"/>
  <c r="O447" i="1" s="1"/>
  <c r="I447" i="1"/>
  <c r="N447" i="1" s="1"/>
  <c r="L446" i="1"/>
  <c r="Q446" i="1" s="1"/>
  <c r="K446" i="1"/>
  <c r="P446" i="1" s="1"/>
  <c r="J446" i="1"/>
  <c r="O446" i="1" s="1"/>
  <c r="I446" i="1"/>
  <c r="N446" i="1" s="1"/>
  <c r="L445" i="1"/>
  <c r="Q445" i="1" s="1"/>
  <c r="K445" i="1"/>
  <c r="P445" i="1" s="1"/>
  <c r="J445" i="1"/>
  <c r="O445" i="1" s="1"/>
  <c r="I445" i="1"/>
  <c r="N445" i="1" s="1"/>
  <c r="L444" i="1"/>
  <c r="Q444" i="1" s="1"/>
  <c r="K444" i="1"/>
  <c r="P444" i="1" s="1"/>
  <c r="J444" i="1"/>
  <c r="O444" i="1" s="1"/>
  <c r="I444" i="1"/>
  <c r="N444" i="1" s="1"/>
  <c r="L443" i="1"/>
  <c r="Q443" i="1" s="1"/>
  <c r="K443" i="1"/>
  <c r="P443" i="1" s="1"/>
  <c r="J443" i="1"/>
  <c r="O443" i="1" s="1"/>
  <c r="I443" i="1"/>
  <c r="N443" i="1" s="1"/>
  <c r="L442" i="1"/>
  <c r="Q442" i="1" s="1"/>
  <c r="K442" i="1"/>
  <c r="P442" i="1" s="1"/>
  <c r="J442" i="1"/>
  <c r="O442" i="1" s="1"/>
  <c r="I442" i="1"/>
  <c r="N442" i="1" s="1"/>
  <c r="L441" i="1"/>
  <c r="Q441" i="1" s="1"/>
  <c r="K441" i="1"/>
  <c r="P441" i="1" s="1"/>
  <c r="J441" i="1"/>
  <c r="O441" i="1" s="1"/>
  <c r="I441" i="1"/>
  <c r="N441" i="1" s="1"/>
  <c r="L440" i="1"/>
  <c r="Q440" i="1" s="1"/>
  <c r="K440" i="1"/>
  <c r="P440" i="1" s="1"/>
  <c r="J440" i="1"/>
  <c r="O440" i="1" s="1"/>
  <c r="I440" i="1"/>
  <c r="N440" i="1" s="1"/>
  <c r="L439" i="1"/>
  <c r="Q439" i="1" s="1"/>
  <c r="K439" i="1"/>
  <c r="P439" i="1" s="1"/>
  <c r="J439" i="1"/>
  <c r="O439" i="1" s="1"/>
  <c r="I439" i="1"/>
  <c r="N439" i="1" s="1"/>
  <c r="L438" i="1"/>
  <c r="Q438" i="1" s="1"/>
  <c r="K438" i="1"/>
  <c r="P438" i="1" s="1"/>
  <c r="J438" i="1"/>
  <c r="O438" i="1" s="1"/>
  <c r="I438" i="1"/>
  <c r="N438" i="1" s="1"/>
  <c r="L437" i="1"/>
  <c r="Q437" i="1" s="1"/>
  <c r="K437" i="1"/>
  <c r="P437" i="1" s="1"/>
  <c r="J437" i="1"/>
  <c r="O437" i="1" s="1"/>
  <c r="I437" i="1"/>
  <c r="N437" i="1" s="1"/>
  <c r="L436" i="1"/>
  <c r="Q436" i="1" s="1"/>
  <c r="K436" i="1"/>
  <c r="P436" i="1" s="1"/>
  <c r="J436" i="1"/>
  <c r="O436" i="1" s="1"/>
  <c r="I436" i="1"/>
  <c r="N436" i="1" s="1"/>
  <c r="L435" i="1"/>
  <c r="Q435" i="1" s="1"/>
  <c r="K435" i="1"/>
  <c r="P435" i="1" s="1"/>
  <c r="J435" i="1"/>
  <c r="O435" i="1" s="1"/>
  <c r="I435" i="1"/>
  <c r="N435" i="1" s="1"/>
  <c r="L434" i="1"/>
  <c r="Q434" i="1" s="1"/>
  <c r="K434" i="1"/>
  <c r="P434" i="1" s="1"/>
  <c r="J434" i="1"/>
  <c r="O434" i="1" s="1"/>
  <c r="I434" i="1"/>
  <c r="N434" i="1" s="1"/>
  <c r="L433" i="1"/>
  <c r="Q433" i="1" s="1"/>
  <c r="K433" i="1"/>
  <c r="P433" i="1" s="1"/>
  <c r="J433" i="1"/>
  <c r="O433" i="1" s="1"/>
  <c r="I433" i="1"/>
  <c r="N433" i="1" s="1"/>
  <c r="L432" i="1"/>
  <c r="Q432" i="1" s="1"/>
  <c r="K432" i="1"/>
  <c r="P432" i="1" s="1"/>
  <c r="J432" i="1"/>
  <c r="O432" i="1" s="1"/>
  <c r="I432" i="1"/>
  <c r="N432" i="1" s="1"/>
  <c r="L431" i="1"/>
  <c r="Q431" i="1" s="1"/>
  <c r="K431" i="1"/>
  <c r="P431" i="1" s="1"/>
  <c r="J431" i="1"/>
  <c r="O431" i="1" s="1"/>
  <c r="I431" i="1"/>
  <c r="N431" i="1" s="1"/>
  <c r="L430" i="1"/>
  <c r="Q430" i="1" s="1"/>
  <c r="K430" i="1"/>
  <c r="P430" i="1" s="1"/>
  <c r="J430" i="1"/>
  <c r="O430" i="1" s="1"/>
  <c r="I430" i="1"/>
  <c r="N430" i="1" s="1"/>
  <c r="L429" i="1"/>
  <c r="Q429" i="1" s="1"/>
  <c r="K429" i="1"/>
  <c r="P429" i="1" s="1"/>
  <c r="J429" i="1"/>
  <c r="O429" i="1" s="1"/>
  <c r="I429" i="1"/>
  <c r="N429" i="1" s="1"/>
  <c r="L428" i="1"/>
  <c r="Q428" i="1" s="1"/>
  <c r="K428" i="1"/>
  <c r="P428" i="1" s="1"/>
  <c r="J428" i="1"/>
  <c r="O428" i="1" s="1"/>
  <c r="I428" i="1"/>
  <c r="N428" i="1" s="1"/>
  <c r="L427" i="1"/>
  <c r="Q427" i="1" s="1"/>
  <c r="K427" i="1"/>
  <c r="P427" i="1" s="1"/>
  <c r="J427" i="1"/>
  <c r="O427" i="1" s="1"/>
  <c r="I427" i="1"/>
  <c r="N427" i="1" s="1"/>
  <c r="L426" i="1"/>
  <c r="Q426" i="1" s="1"/>
  <c r="K426" i="1"/>
  <c r="P426" i="1" s="1"/>
  <c r="J426" i="1"/>
  <c r="O426" i="1" s="1"/>
  <c r="I426" i="1"/>
  <c r="N426" i="1" s="1"/>
  <c r="L425" i="1"/>
  <c r="Q425" i="1" s="1"/>
  <c r="K425" i="1"/>
  <c r="P425" i="1" s="1"/>
  <c r="J425" i="1"/>
  <c r="O425" i="1" s="1"/>
  <c r="I425" i="1"/>
  <c r="N425" i="1" s="1"/>
  <c r="L424" i="1"/>
  <c r="Q424" i="1" s="1"/>
  <c r="K424" i="1"/>
  <c r="P424" i="1" s="1"/>
  <c r="J424" i="1"/>
  <c r="O424" i="1" s="1"/>
  <c r="I424" i="1"/>
  <c r="N424" i="1" s="1"/>
  <c r="L423" i="1"/>
  <c r="Q423" i="1" s="1"/>
  <c r="K423" i="1"/>
  <c r="P423" i="1" s="1"/>
  <c r="J423" i="1"/>
  <c r="O423" i="1" s="1"/>
  <c r="I423" i="1"/>
  <c r="N423" i="1" s="1"/>
  <c r="L422" i="1"/>
  <c r="Q422" i="1" s="1"/>
  <c r="K422" i="1"/>
  <c r="P422" i="1" s="1"/>
  <c r="J422" i="1"/>
  <c r="O422" i="1" s="1"/>
  <c r="I422" i="1"/>
  <c r="N422" i="1" s="1"/>
  <c r="L421" i="1"/>
  <c r="Q421" i="1" s="1"/>
  <c r="K421" i="1"/>
  <c r="P421" i="1" s="1"/>
  <c r="J421" i="1"/>
  <c r="O421" i="1" s="1"/>
  <c r="I421" i="1"/>
  <c r="N421" i="1" s="1"/>
  <c r="L420" i="1"/>
  <c r="Q420" i="1" s="1"/>
  <c r="K420" i="1"/>
  <c r="P420" i="1" s="1"/>
  <c r="J420" i="1"/>
  <c r="O420" i="1" s="1"/>
  <c r="I420" i="1"/>
  <c r="N420" i="1" s="1"/>
  <c r="L419" i="1"/>
  <c r="Q419" i="1" s="1"/>
  <c r="K419" i="1"/>
  <c r="P419" i="1" s="1"/>
  <c r="J419" i="1"/>
  <c r="O419" i="1" s="1"/>
  <c r="I419" i="1"/>
  <c r="N419" i="1" s="1"/>
  <c r="L418" i="1"/>
  <c r="Q418" i="1" s="1"/>
  <c r="K418" i="1"/>
  <c r="P418" i="1" s="1"/>
  <c r="J418" i="1"/>
  <c r="O418" i="1" s="1"/>
  <c r="I418" i="1"/>
  <c r="N418" i="1" s="1"/>
  <c r="L417" i="1"/>
  <c r="Q417" i="1" s="1"/>
  <c r="K417" i="1"/>
  <c r="P417" i="1" s="1"/>
  <c r="J417" i="1"/>
  <c r="O417" i="1" s="1"/>
  <c r="I417" i="1"/>
  <c r="N417" i="1" s="1"/>
  <c r="L416" i="1"/>
  <c r="Q416" i="1" s="1"/>
  <c r="K416" i="1"/>
  <c r="P416" i="1" s="1"/>
  <c r="J416" i="1"/>
  <c r="O416" i="1" s="1"/>
  <c r="I416" i="1"/>
  <c r="N416" i="1" s="1"/>
  <c r="L415" i="1"/>
  <c r="Q415" i="1" s="1"/>
  <c r="K415" i="1"/>
  <c r="P415" i="1" s="1"/>
  <c r="J415" i="1"/>
  <c r="O415" i="1" s="1"/>
  <c r="I415" i="1"/>
  <c r="N415" i="1" s="1"/>
  <c r="L414" i="1"/>
  <c r="Q414" i="1" s="1"/>
  <c r="K414" i="1"/>
  <c r="P414" i="1" s="1"/>
  <c r="J414" i="1"/>
  <c r="O414" i="1" s="1"/>
  <c r="I414" i="1"/>
  <c r="N414" i="1" s="1"/>
  <c r="L413" i="1"/>
  <c r="Q413" i="1" s="1"/>
  <c r="K413" i="1"/>
  <c r="P413" i="1" s="1"/>
  <c r="J413" i="1"/>
  <c r="O413" i="1" s="1"/>
  <c r="I413" i="1"/>
  <c r="N413" i="1" s="1"/>
  <c r="L412" i="1"/>
  <c r="Q412" i="1" s="1"/>
  <c r="K412" i="1"/>
  <c r="P412" i="1" s="1"/>
  <c r="J412" i="1"/>
  <c r="O412" i="1" s="1"/>
  <c r="I412" i="1"/>
  <c r="N412" i="1" s="1"/>
  <c r="L411" i="1"/>
  <c r="Q411" i="1" s="1"/>
  <c r="K411" i="1"/>
  <c r="P411" i="1" s="1"/>
  <c r="J411" i="1"/>
  <c r="O411" i="1" s="1"/>
  <c r="I411" i="1"/>
  <c r="N411" i="1" s="1"/>
  <c r="L410" i="1"/>
  <c r="Q410" i="1" s="1"/>
  <c r="K410" i="1"/>
  <c r="P410" i="1" s="1"/>
  <c r="J410" i="1"/>
  <c r="O410" i="1" s="1"/>
  <c r="I410" i="1"/>
  <c r="N410" i="1" s="1"/>
  <c r="L409" i="1"/>
  <c r="Q409" i="1" s="1"/>
  <c r="K409" i="1"/>
  <c r="P409" i="1" s="1"/>
  <c r="J409" i="1"/>
  <c r="O409" i="1" s="1"/>
  <c r="I409" i="1"/>
  <c r="N409" i="1" s="1"/>
  <c r="L408" i="1"/>
  <c r="Q408" i="1" s="1"/>
  <c r="K408" i="1"/>
  <c r="P408" i="1" s="1"/>
  <c r="J408" i="1"/>
  <c r="O408" i="1" s="1"/>
  <c r="I408" i="1"/>
  <c r="N408" i="1" s="1"/>
  <c r="L407" i="1"/>
  <c r="Q407" i="1" s="1"/>
  <c r="K407" i="1"/>
  <c r="P407" i="1" s="1"/>
  <c r="J407" i="1"/>
  <c r="O407" i="1" s="1"/>
  <c r="I407" i="1"/>
  <c r="N407" i="1" s="1"/>
  <c r="L406" i="1"/>
  <c r="Q406" i="1" s="1"/>
  <c r="K406" i="1"/>
  <c r="P406" i="1" s="1"/>
  <c r="J406" i="1"/>
  <c r="O406" i="1" s="1"/>
  <c r="I406" i="1"/>
  <c r="N406" i="1" s="1"/>
  <c r="L405" i="1"/>
  <c r="Q405" i="1" s="1"/>
  <c r="K405" i="1"/>
  <c r="P405" i="1" s="1"/>
  <c r="J405" i="1"/>
  <c r="O405" i="1" s="1"/>
  <c r="I405" i="1"/>
  <c r="N405" i="1" s="1"/>
  <c r="L404" i="1"/>
  <c r="Q404" i="1" s="1"/>
  <c r="K404" i="1"/>
  <c r="P404" i="1" s="1"/>
  <c r="J404" i="1"/>
  <c r="O404" i="1" s="1"/>
  <c r="I404" i="1"/>
  <c r="N404" i="1" s="1"/>
  <c r="L403" i="1"/>
  <c r="Q403" i="1" s="1"/>
  <c r="K403" i="1"/>
  <c r="P403" i="1" s="1"/>
  <c r="J403" i="1"/>
  <c r="O403" i="1" s="1"/>
  <c r="I403" i="1"/>
  <c r="N403" i="1" s="1"/>
  <c r="L402" i="1"/>
  <c r="Q402" i="1" s="1"/>
  <c r="K402" i="1"/>
  <c r="P402" i="1" s="1"/>
  <c r="J402" i="1"/>
  <c r="O402" i="1" s="1"/>
  <c r="I402" i="1"/>
  <c r="N402" i="1" s="1"/>
  <c r="L401" i="1"/>
  <c r="Q401" i="1" s="1"/>
  <c r="K401" i="1"/>
  <c r="P401" i="1" s="1"/>
  <c r="J401" i="1"/>
  <c r="O401" i="1" s="1"/>
  <c r="I401" i="1"/>
  <c r="N401" i="1" s="1"/>
  <c r="L400" i="1"/>
  <c r="Q400" i="1" s="1"/>
  <c r="K400" i="1"/>
  <c r="P400" i="1" s="1"/>
  <c r="J400" i="1"/>
  <c r="O400" i="1" s="1"/>
  <c r="I400" i="1"/>
  <c r="N400" i="1" s="1"/>
  <c r="L399" i="1"/>
  <c r="Q399" i="1" s="1"/>
  <c r="K399" i="1"/>
  <c r="P399" i="1" s="1"/>
  <c r="J399" i="1"/>
  <c r="O399" i="1" s="1"/>
  <c r="I399" i="1"/>
  <c r="N399" i="1" s="1"/>
  <c r="L398" i="1"/>
  <c r="Q398" i="1" s="1"/>
  <c r="K398" i="1"/>
  <c r="P398" i="1" s="1"/>
  <c r="J398" i="1"/>
  <c r="O398" i="1" s="1"/>
  <c r="I398" i="1"/>
  <c r="N398" i="1" s="1"/>
  <c r="L397" i="1"/>
  <c r="Q397" i="1" s="1"/>
  <c r="K397" i="1"/>
  <c r="P397" i="1" s="1"/>
  <c r="J397" i="1"/>
  <c r="O397" i="1" s="1"/>
  <c r="I397" i="1"/>
  <c r="N397" i="1" s="1"/>
  <c r="L396" i="1"/>
  <c r="Q396" i="1" s="1"/>
  <c r="K396" i="1"/>
  <c r="P396" i="1" s="1"/>
  <c r="J396" i="1"/>
  <c r="O396" i="1" s="1"/>
  <c r="I396" i="1"/>
  <c r="N396" i="1" s="1"/>
  <c r="L395" i="1"/>
  <c r="Q395" i="1" s="1"/>
  <c r="K395" i="1"/>
  <c r="P395" i="1" s="1"/>
  <c r="J395" i="1"/>
  <c r="O395" i="1" s="1"/>
  <c r="I395" i="1"/>
  <c r="N395" i="1" s="1"/>
  <c r="L394" i="1"/>
  <c r="Q394" i="1" s="1"/>
  <c r="K394" i="1"/>
  <c r="P394" i="1" s="1"/>
  <c r="J394" i="1"/>
  <c r="O394" i="1" s="1"/>
  <c r="I394" i="1"/>
  <c r="N394" i="1" s="1"/>
  <c r="L393" i="1"/>
  <c r="Q393" i="1" s="1"/>
  <c r="K393" i="1"/>
  <c r="P393" i="1" s="1"/>
  <c r="J393" i="1"/>
  <c r="O393" i="1" s="1"/>
  <c r="I393" i="1"/>
  <c r="N393" i="1" s="1"/>
  <c r="L392" i="1"/>
  <c r="Q392" i="1" s="1"/>
  <c r="K392" i="1"/>
  <c r="P392" i="1" s="1"/>
  <c r="J392" i="1"/>
  <c r="O392" i="1" s="1"/>
  <c r="I392" i="1"/>
  <c r="N392" i="1" s="1"/>
  <c r="L391" i="1"/>
  <c r="Q391" i="1" s="1"/>
  <c r="K391" i="1"/>
  <c r="P391" i="1" s="1"/>
  <c r="J391" i="1"/>
  <c r="O391" i="1" s="1"/>
  <c r="I391" i="1"/>
  <c r="N391" i="1" s="1"/>
  <c r="L390" i="1"/>
  <c r="Q390" i="1" s="1"/>
  <c r="K390" i="1"/>
  <c r="P390" i="1" s="1"/>
  <c r="J390" i="1"/>
  <c r="O390" i="1" s="1"/>
  <c r="I390" i="1"/>
  <c r="N390" i="1" s="1"/>
  <c r="L389" i="1"/>
  <c r="Q389" i="1" s="1"/>
  <c r="K389" i="1"/>
  <c r="P389" i="1" s="1"/>
  <c r="J389" i="1"/>
  <c r="O389" i="1" s="1"/>
  <c r="I389" i="1"/>
  <c r="N389" i="1" s="1"/>
  <c r="L388" i="1"/>
  <c r="Q388" i="1" s="1"/>
  <c r="K388" i="1"/>
  <c r="P388" i="1" s="1"/>
  <c r="J388" i="1"/>
  <c r="O388" i="1" s="1"/>
  <c r="I388" i="1"/>
  <c r="N388" i="1" s="1"/>
  <c r="L387" i="1"/>
  <c r="Q387" i="1" s="1"/>
  <c r="K387" i="1"/>
  <c r="P387" i="1" s="1"/>
  <c r="J387" i="1"/>
  <c r="O387" i="1" s="1"/>
  <c r="I387" i="1"/>
  <c r="N387" i="1" s="1"/>
  <c r="L386" i="1"/>
  <c r="Q386" i="1" s="1"/>
  <c r="K386" i="1"/>
  <c r="P386" i="1" s="1"/>
  <c r="J386" i="1"/>
  <c r="O386" i="1" s="1"/>
  <c r="I386" i="1"/>
  <c r="N386" i="1" s="1"/>
  <c r="L385" i="1"/>
  <c r="Q385" i="1" s="1"/>
  <c r="K385" i="1"/>
  <c r="P385" i="1" s="1"/>
  <c r="J385" i="1"/>
  <c r="O385" i="1" s="1"/>
  <c r="I385" i="1"/>
  <c r="N385" i="1" s="1"/>
  <c r="L384" i="1"/>
  <c r="Q384" i="1" s="1"/>
  <c r="K384" i="1"/>
  <c r="P384" i="1" s="1"/>
  <c r="J384" i="1"/>
  <c r="O384" i="1" s="1"/>
  <c r="I384" i="1"/>
  <c r="N384" i="1" s="1"/>
  <c r="L383" i="1"/>
  <c r="Q383" i="1" s="1"/>
  <c r="K383" i="1"/>
  <c r="P383" i="1" s="1"/>
  <c r="J383" i="1"/>
  <c r="O383" i="1" s="1"/>
  <c r="I383" i="1"/>
  <c r="N383" i="1" s="1"/>
  <c r="L382" i="1"/>
  <c r="Q382" i="1" s="1"/>
  <c r="K382" i="1"/>
  <c r="P382" i="1" s="1"/>
  <c r="J382" i="1"/>
  <c r="O382" i="1" s="1"/>
  <c r="I382" i="1"/>
  <c r="N382" i="1" s="1"/>
  <c r="L381" i="1"/>
  <c r="Q381" i="1" s="1"/>
  <c r="K381" i="1"/>
  <c r="P381" i="1" s="1"/>
  <c r="J381" i="1"/>
  <c r="O381" i="1" s="1"/>
  <c r="I381" i="1"/>
  <c r="N381" i="1" s="1"/>
  <c r="L380" i="1"/>
  <c r="Q380" i="1" s="1"/>
  <c r="K380" i="1"/>
  <c r="P380" i="1" s="1"/>
  <c r="J380" i="1"/>
  <c r="O380" i="1" s="1"/>
  <c r="I380" i="1"/>
  <c r="N380" i="1" s="1"/>
  <c r="L379" i="1"/>
  <c r="Q379" i="1" s="1"/>
  <c r="K379" i="1"/>
  <c r="P379" i="1" s="1"/>
  <c r="J379" i="1"/>
  <c r="O379" i="1" s="1"/>
  <c r="I379" i="1"/>
  <c r="N379" i="1" s="1"/>
  <c r="L378" i="1"/>
  <c r="Q378" i="1" s="1"/>
  <c r="K378" i="1"/>
  <c r="P378" i="1" s="1"/>
  <c r="J378" i="1"/>
  <c r="O378" i="1" s="1"/>
  <c r="I378" i="1"/>
  <c r="N378" i="1" s="1"/>
  <c r="L377" i="1"/>
  <c r="Q377" i="1" s="1"/>
  <c r="K377" i="1"/>
  <c r="P377" i="1" s="1"/>
  <c r="J377" i="1"/>
  <c r="O377" i="1" s="1"/>
  <c r="I377" i="1"/>
  <c r="N377" i="1" s="1"/>
  <c r="L376" i="1"/>
  <c r="Q376" i="1" s="1"/>
  <c r="K376" i="1"/>
  <c r="P376" i="1" s="1"/>
  <c r="J376" i="1"/>
  <c r="O376" i="1" s="1"/>
  <c r="I376" i="1"/>
  <c r="N376" i="1" s="1"/>
  <c r="L375" i="1"/>
  <c r="Q375" i="1" s="1"/>
  <c r="K375" i="1"/>
  <c r="P375" i="1" s="1"/>
  <c r="J375" i="1"/>
  <c r="O375" i="1" s="1"/>
  <c r="I375" i="1"/>
  <c r="N375" i="1" s="1"/>
  <c r="L374" i="1"/>
  <c r="Q374" i="1" s="1"/>
  <c r="K374" i="1"/>
  <c r="P374" i="1" s="1"/>
  <c r="J374" i="1"/>
  <c r="O374" i="1" s="1"/>
  <c r="I374" i="1"/>
  <c r="N374" i="1" s="1"/>
  <c r="L373" i="1"/>
  <c r="Q373" i="1" s="1"/>
  <c r="K373" i="1"/>
  <c r="P373" i="1" s="1"/>
  <c r="J373" i="1"/>
  <c r="O373" i="1" s="1"/>
  <c r="I373" i="1"/>
  <c r="N373" i="1" s="1"/>
  <c r="L372" i="1"/>
  <c r="Q372" i="1" s="1"/>
  <c r="K372" i="1"/>
  <c r="P372" i="1" s="1"/>
  <c r="J372" i="1"/>
  <c r="O372" i="1" s="1"/>
  <c r="I372" i="1"/>
  <c r="N372" i="1" s="1"/>
  <c r="L371" i="1"/>
  <c r="Q371" i="1" s="1"/>
  <c r="K371" i="1"/>
  <c r="P371" i="1" s="1"/>
  <c r="J371" i="1"/>
  <c r="O371" i="1" s="1"/>
  <c r="I371" i="1"/>
  <c r="N371" i="1" s="1"/>
  <c r="L370" i="1"/>
  <c r="Q370" i="1" s="1"/>
  <c r="K370" i="1"/>
  <c r="P370" i="1" s="1"/>
  <c r="J370" i="1"/>
  <c r="O370" i="1" s="1"/>
  <c r="I370" i="1"/>
  <c r="N370" i="1" s="1"/>
  <c r="L369" i="1"/>
  <c r="Q369" i="1" s="1"/>
  <c r="K369" i="1"/>
  <c r="P369" i="1" s="1"/>
  <c r="J369" i="1"/>
  <c r="O369" i="1" s="1"/>
  <c r="I369" i="1"/>
  <c r="N369" i="1" s="1"/>
  <c r="L368" i="1"/>
  <c r="Q368" i="1" s="1"/>
  <c r="K368" i="1"/>
  <c r="P368" i="1" s="1"/>
  <c r="J368" i="1"/>
  <c r="O368" i="1" s="1"/>
  <c r="I368" i="1"/>
  <c r="N368" i="1" s="1"/>
  <c r="L367" i="1"/>
  <c r="Q367" i="1" s="1"/>
  <c r="K367" i="1"/>
  <c r="P367" i="1" s="1"/>
  <c r="J367" i="1"/>
  <c r="O367" i="1" s="1"/>
  <c r="I367" i="1"/>
  <c r="N367" i="1" s="1"/>
  <c r="L366" i="1"/>
  <c r="Q366" i="1" s="1"/>
  <c r="K366" i="1"/>
  <c r="P366" i="1" s="1"/>
  <c r="J366" i="1"/>
  <c r="O366" i="1" s="1"/>
  <c r="I366" i="1"/>
  <c r="N366" i="1" s="1"/>
  <c r="L365" i="1"/>
  <c r="Q365" i="1" s="1"/>
  <c r="K365" i="1"/>
  <c r="P365" i="1" s="1"/>
  <c r="J365" i="1"/>
  <c r="O365" i="1" s="1"/>
  <c r="I365" i="1"/>
  <c r="N365" i="1" s="1"/>
  <c r="L364" i="1"/>
  <c r="Q364" i="1" s="1"/>
  <c r="K364" i="1"/>
  <c r="P364" i="1" s="1"/>
  <c r="J364" i="1"/>
  <c r="O364" i="1" s="1"/>
  <c r="I364" i="1"/>
  <c r="N364" i="1" s="1"/>
  <c r="L363" i="1"/>
  <c r="Q363" i="1" s="1"/>
  <c r="K363" i="1"/>
  <c r="P363" i="1" s="1"/>
  <c r="J363" i="1"/>
  <c r="O363" i="1" s="1"/>
  <c r="I363" i="1"/>
  <c r="N363" i="1" s="1"/>
  <c r="L362" i="1"/>
  <c r="Q362" i="1" s="1"/>
  <c r="K362" i="1"/>
  <c r="P362" i="1" s="1"/>
  <c r="J362" i="1"/>
  <c r="O362" i="1" s="1"/>
  <c r="I362" i="1"/>
  <c r="N362" i="1" s="1"/>
  <c r="L361" i="1"/>
  <c r="Q361" i="1" s="1"/>
  <c r="K361" i="1"/>
  <c r="P361" i="1" s="1"/>
  <c r="J361" i="1"/>
  <c r="O361" i="1" s="1"/>
  <c r="I361" i="1"/>
  <c r="N361" i="1" s="1"/>
  <c r="L360" i="1"/>
  <c r="Q360" i="1" s="1"/>
  <c r="K360" i="1"/>
  <c r="P360" i="1" s="1"/>
  <c r="J360" i="1"/>
  <c r="O360" i="1" s="1"/>
  <c r="I360" i="1"/>
  <c r="N360" i="1" s="1"/>
  <c r="L359" i="1"/>
  <c r="Q359" i="1" s="1"/>
  <c r="K359" i="1"/>
  <c r="P359" i="1" s="1"/>
  <c r="J359" i="1"/>
  <c r="O359" i="1" s="1"/>
  <c r="I359" i="1"/>
  <c r="N359" i="1" s="1"/>
  <c r="L358" i="1"/>
  <c r="Q358" i="1" s="1"/>
  <c r="K358" i="1"/>
  <c r="P358" i="1" s="1"/>
  <c r="J358" i="1"/>
  <c r="O358" i="1" s="1"/>
  <c r="I358" i="1"/>
  <c r="N358" i="1" s="1"/>
  <c r="L357" i="1"/>
  <c r="Q357" i="1" s="1"/>
  <c r="K357" i="1"/>
  <c r="P357" i="1" s="1"/>
  <c r="J357" i="1"/>
  <c r="O357" i="1" s="1"/>
  <c r="I357" i="1"/>
  <c r="N357" i="1" s="1"/>
  <c r="L356" i="1"/>
  <c r="Q356" i="1" s="1"/>
  <c r="K356" i="1"/>
  <c r="P356" i="1" s="1"/>
  <c r="J356" i="1"/>
  <c r="O356" i="1" s="1"/>
  <c r="I356" i="1"/>
  <c r="N356" i="1" s="1"/>
  <c r="L355" i="1"/>
  <c r="Q355" i="1" s="1"/>
  <c r="K355" i="1"/>
  <c r="P355" i="1" s="1"/>
  <c r="J355" i="1"/>
  <c r="O355" i="1" s="1"/>
  <c r="I355" i="1"/>
  <c r="N355" i="1" s="1"/>
  <c r="L354" i="1"/>
  <c r="Q354" i="1" s="1"/>
  <c r="K354" i="1"/>
  <c r="P354" i="1" s="1"/>
  <c r="J354" i="1"/>
  <c r="O354" i="1" s="1"/>
  <c r="I354" i="1"/>
  <c r="N354" i="1" s="1"/>
  <c r="L353" i="1"/>
  <c r="Q353" i="1" s="1"/>
  <c r="K353" i="1"/>
  <c r="P353" i="1" s="1"/>
  <c r="J353" i="1"/>
  <c r="O353" i="1" s="1"/>
  <c r="I353" i="1"/>
  <c r="N353" i="1" s="1"/>
  <c r="L352" i="1"/>
  <c r="Q352" i="1" s="1"/>
  <c r="K352" i="1"/>
  <c r="P352" i="1" s="1"/>
  <c r="J352" i="1"/>
  <c r="O352" i="1" s="1"/>
  <c r="I352" i="1"/>
  <c r="N352" i="1" s="1"/>
  <c r="L351" i="1"/>
  <c r="Q351" i="1" s="1"/>
  <c r="K351" i="1"/>
  <c r="P351" i="1" s="1"/>
  <c r="J351" i="1"/>
  <c r="O351" i="1" s="1"/>
  <c r="I351" i="1"/>
  <c r="N351" i="1" s="1"/>
  <c r="L350" i="1"/>
  <c r="Q350" i="1" s="1"/>
  <c r="K350" i="1"/>
  <c r="P350" i="1" s="1"/>
  <c r="J350" i="1"/>
  <c r="O350" i="1" s="1"/>
  <c r="I350" i="1"/>
  <c r="N350" i="1" s="1"/>
  <c r="L349" i="1"/>
  <c r="Q349" i="1" s="1"/>
  <c r="K349" i="1"/>
  <c r="P349" i="1" s="1"/>
  <c r="J349" i="1"/>
  <c r="O349" i="1" s="1"/>
  <c r="I349" i="1"/>
  <c r="N349" i="1" s="1"/>
  <c r="L348" i="1"/>
  <c r="Q348" i="1" s="1"/>
  <c r="K348" i="1"/>
  <c r="P348" i="1" s="1"/>
  <c r="J348" i="1"/>
  <c r="O348" i="1" s="1"/>
  <c r="I348" i="1"/>
  <c r="N348" i="1" s="1"/>
  <c r="L347" i="1"/>
  <c r="Q347" i="1" s="1"/>
  <c r="K347" i="1"/>
  <c r="P347" i="1" s="1"/>
  <c r="J347" i="1"/>
  <c r="O347" i="1" s="1"/>
  <c r="I347" i="1"/>
  <c r="N347" i="1" s="1"/>
  <c r="L346" i="1"/>
  <c r="Q346" i="1" s="1"/>
  <c r="K346" i="1"/>
  <c r="P346" i="1" s="1"/>
  <c r="J346" i="1"/>
  <c r="O346" i="1" s="1"/>
  <c r="I346" i="1"/>
  <c r="N346" i="1" s="1"/>
  <c r="L345" i="1"/>
  <c r="Q345" i="1" s="1"/>
  <c r="K345" i="1"/>
  <c r="P345" i="1" s="1"/>
  <c r="J345" i="1"/>
  <c r="O345" i="1" s="1"/>
  <c r="I345" i="1"/>
  <c r="N345" i="1" s="1"/>
  <c r="L344" i="1"/>
  <c r="Q344" i="1" s="1"/>
  <c r="K344" i="1"/>
  <c r="P344" i="1" s="1"/>
  <c r="J344" i="1"/>
  <c r="O344" i="1" s="1"/>
  <c r="I344" i="1"/>
  <c r="N344" i="1" s="1"/>
  <c r="L343" i="1"/>
  <c r="Q343" i="1" s="1"/>
  <c r="K343" i="1"/>
  <c r="P343" i="1" s="1"/>
  <c r="J343" i="1"/>
  <c r="O343" i="1" s="1"/>
  <c r="I343" i="1"/>
  <c r="N343" i="1" s="1"/>
  <c r="L342" i="1"/>
  <c r="Q342" i="1" s="1"/>
  <c r="K342" i="1"/>
  <c r="P342" i="1" s="1"/>
  <c r="J342" i="1"/>
  <c r="O342" i="1" s="1"/>
  <c r="I342" i="1"/>
  <c r="N342" i="1" s="1"/>
  <c r="L341" i="1"/>
  <c r="Q341" i="1" s="1"/>
  <c r="K341" i="1"/>
  <c r="P341" i="1" s="1"/>
  <c r="J341" i="1"/>
  <c r="O341" i="1" s="1"/>
  <c r="I341" i="1"/>
  <c r="N341" i="1" s="1"/>
  <c r="L340" i="1"/>
  <c r="Q340" i="1" s="1"/>
  <c r="K340" i="1"/>
  <c r="P340" i="1" s="1"/>
  <c r="J340" i="1"/>
  <c r="O340" i="1" s="1"/>
  <c r="I340" i="1"/>
  <c r="N340" i="1" s="1"/>
  <c r="L339" i="1"/>
  <c r="Q339" i="1" s="1"/>
  <c r="K339" i="1"/>
  <c r="P339" i="1" s="1"/>
  <c r="J339" i="1"/>
  <c r="O339" i="1" s="1"/>
  <c r="I339" i="1"/>
  <c r="N339" i="1" s="1"/>
  <c r="L338" i="1"/>
  <c r="Q338" i="1" s="1"/>
  <c r="K338" i="1"/>
  <c r="P338" i="1" s="1"/>
  <c r="J338" i="1"/>
  <c r="O338" i="1" s="1"/>
  <c r="I338" i="1"/>
  <c r="N338" i="1" s="1"/>
  <c r="L337" i="1"/>
  <c r="Q337" i="1" s="1"/>
  <c r="K337" i="1"/>
  <c r="P337" i="1" s="1"/>
  <c r="J337" i="1"/>
  <c r="O337" i="1" s="1"/>
  <c r="I337" i="1"/>
  <c r="N337" i="1" s="1"/>
  <c r="L336" i="1"/>
  <c r="Q336" i="1" s="1"/>
  <c r="K336" i="1"/>
  <c r="P336" i="1" s="1"/>
  <c r="J336" i="1"/>
  <c r="O336" i="1" s="1"/>
  <c r="I336" i="1"/>
  <c r="N336" i="1" s="1"/>
  <c r="L335" i="1"/>
  <c r="Q335" i="1" s="1"/>
  <c r="K335" i="1"/>
  <c r="P335" i="1" s="1"/>
  <c r="J335" i="1"/>
  <c r="O335" i="1" s="1"/>
  <c r="I335" i="1"/>
  <c r="N335" i="1" s="1"/>
  <c r="L334" i="1"/>
  <c r="Q334" i="1" s="1"/>
  <c r="K334" i="1"/>
  <c r="P334" i="1" s="1"/>
  <c r="J334" i="1"/>
  <c r="O334" i="1" s="1"/>
  <c r="I334" i="1"/>
  <c r="N334" i="1" s="1"/>
  <c r="L333" i="1"/>
  <c r="Q333" i="1" s="1"/>
  <c r="K333" i="1"/>
  <c r="P333" i="1" s="1"/>
  <c r="J333" i="1"/>
  <c r="O333" i="1" s="1"/>
  <c r="I333" i="1"/>
  <c r="N333" i="1" s="1"/>
  <c r="L332" i="1"/>
  <c r="Q332" i="1" s="1"/>
  <c r="K332" i="1"/>
  <c r="P332" i="1" s="1"/>
  <c r="J332" i="1"/>
  <c r="O332" i="1" s="1"/>
  <c r="I332" i="1"/>
  <c r="N332" i="1" s="1"/>
  <c r="L331" i="1"/>
  <c r="Q331" i="1" s="1"/>
  <c r="K331" i="1"/>
  <c r="P331" i="1" s="1"/>
  <c r="J331" i="1"/>
  <c r="O331" i="1" s="1"/>
  <c r="I331" i="1"/>
  <c r="N331" i="1" s="1"/>
  <c r="L330" i="1"/>
  <c r="Q330" i="1" s="1"/>
  <c r="K330" i="1"/>
  <c r="P330" i="1" s="1"/>
  <c r="J330" i="1"/>
  <c r="O330" i="1" s="1"/>
  <c r="I330" i="1"/>
  <c r="N330" i="1" s="1"/>
  <c r="L329" i="1"/>
  <c r="Q329" i="1" s="1"/>
  <c r="K329" i="1"/>
  <c r="P329" i="1" s="1"/>
  <c r="J329" i="1"/>
  <c r="O329" i="1" s="1"/>
  <c r="I329" i="1"/>
  <c r="N329" i="1" s="1"/>
  <c r="L328" i="1"/>
  <c r="Q328" i="1" s="1"/>
  <c r="K328" i="1"/>
  <c r="P328" i="1" s="1"/>
  <c r="J328" i="1"/>
  <c r="O328" i="1" s="1"/>
  <c r="I328" i="1"/>
  <c r="N328" i="1" s="1"/>
  <c r="L327" i="1"/>
  <c r="Q327" i="1" s="1"/>
  <c r="K327" i="1"/>
  <c r="P327" i="1" s="1"/>
  <c r="J327" i="1"/>
  <c r="O327" i="1" s="1"/>
  <c r="I327" i="1"/>
  <c r="N327" i="1" s="1"/>
  <c r="L326" i="1"/>
  <c r="Q326" i="1" s="1"/>
  <c r="K326" i="1"/>
  <c r="P326" i="1" s="1"/>
  <c r="J326" i="1"/>
  <c r="O326" i="1" s="1"/>
  <c r="I326" i="1"/>
  <c r="N326" i="1" s="1"/>
  <c r="L325" i="1"/>
  <c r="Q325" i="1" s="1"/>
  <c r="K325" i="1"/>
  <c r="P325" i="1" s="1"/>
  <c r="J325" i="1"/>
  <c r="O325" i="1" s="1"/>
  <c r="I325" i="1"/>
  <c r="N325" i="1" s="1"/>
  <c r="L324" i="1"/>
  <c r="Q324" i="1" s="1"/>
  <c r="K324" i="1"/>
  <c r="P324" i="1" s="1"/>
  <c r="J324" i="1"/>
  <c r="O324" i="1" s="1"/>
  <c r="I324" i="1"/>
  <c r="N324" i="1" s="1"/>
  <c r="L323" i="1"/>
  <c r="Q323" i="1" s="1"/>
  <c r="K323" i="1"/>
  <c r="P323" i="1" s="1"/>
  <c r="J323" i="1"/>
  <c r="O323" i="1" s="1"/>
  <c r="I323" i="1"/>
  <c r="N323" i="1" s="1"/>
  <c r="L322" i="1"/>
  <c r="Q322" i="1" s="1"/>
  <c r="K322" i="1"/>
  <c r="P322" i="1" s="1"/>
  <c r="J322" i="1"/>
  <c r="O322" i="1" s="1"/>
  <c r="I322" i="1"/>
  <c r="N322" i="1" s="1"/>
  <c r="L321" i="1"/>
  <c r="Q321" i="1" s="1"/>
  <c r="K321" i="1"/>
  <c r="P321" i="1" s="1"/>
  <c r="J321" i="1"/>
  <c r="O321" i="1" s="1"/>
  <c r="I321" i="1"/>
  <c r="N321" i="1" s="1"/>
  <c r="L320" i="1"/>
  <c r="Q320" i="1" s="1"/>
  <c r="K320" i="1"/>
  <c r="P320" i="1" s="1"/>
  <c r="J320" i="1"/>
  <c r="O320" i="1" s="1"/>
  <c r="I320" i="1"/>
  <c r="N320" i="1" s="1"/>
  <c r="L319" i="1"/>
  <c r="Q319" i="1" s="1"/>
  <c r="K319" i="1"/>
  <c r="P319" i="1" s="1"/>
  <c r="J319" i="1"/>
  <c r="O319" i="1" s="1"/>
  <c r="I319" i="1"/>
  <c r="N319" i="1" s="1"/>
  <c r="L318" i="1"/>
  <c r="Q318" i="1" s="1"/>
  <c r="K318" i="1"/>
  <c r="P318" i="1" s="1"/>
  <c r="J318" i="1"/>
  <c r="O318" i="1" s="1"/>
  <c r="I318" i="1"/>
  <c r="N318" i="1" s="1"/>
  <c r="L317" i="1"/>
  <c r="Q317" i="1" s="1"/>
  <c r="K317" i="1"/>
  <c r="P317" i="1" s="1"/>
  <c r="J317" i="1"/>
  <c r="O317" i="1" s="1"/>
  <c r="I317" i="1"/>
  <c r="N317" i="1" s="1"/>
  <c r="L316" i="1"/>
  <c r="Q316" i="1" s="1"/>
  <c r="K316" i="1"/>
  <c r="P316" i="1" s="1"/>
  <c r="J316" i="1"/>
  <c r="O316" i="1" s="1"/>
  <c r="I316" i="1"/>
  <c r="N316" i="1" s="1"/>
  <c r="L315" i="1"/>
  <c r="Q315" i="1" s="1"/>
  <c r="K315" i="1"/>
  <c r="P315" i="1" s="1"/>
  <c r="J315" i="1"/>
  <c r="O315" i="1" s="1"/>
  <c r="I315" i="1"/>
  <c r="N315" i="1" s="1"/>
  <c r="L314" i="1"/>
  <c r="Q314" i="1" s="1"/>
  <c r="K314" i="1"/>
  <c r="P314" i="1" s="1"/>
  <c r="J314" i="1"/>
  <c r="O314" i="1" s="1"/>
  <c r="I314" i="1"/>
  <c r="N314" i="1" s="1"/>
  <c r="L313" i="1"/>
  <c r="Q313" i="1" s="1"/>
  <c r="K313" i="1"/>
  <c r="P313" i="1" s="1"/>
  <c r="J313" i="1"/>
  <c r="O313" i="1" s="1"/>
  <c r="I313" i="1"/>
  <c r="N313" i="1" s="1"/>
  <c r="L312" i="1"/>
  <c r="Q312" i="1" s="1"/>
  <c r="K312" i="1"/>
  <c r="P312" i="1" s="1"/>
  <c r="J312" i="1"/>
  <c r="O312" i="1" s="1"/>
  <c r="I312" i="1"/>
  <c r="N312" i="1" s="1"/>
  <c r="L311" i="1"/>
  <c r="Q311" i="1" s="1"/>
  <c r="K311" i="1"/>
  <c r="P311" i="1" s="1"/>
  <c r="J311" i="1"/>
  <c r="O311" i="1" s="1"/>
  <c r="I311" i="1"/>
  <c r="N311" i="1" s="1"/>
  <c r="L310" i="1"/>
  <c r="Q310" i="1" s="1"/>
  <c r="K310" i="1"/>
  <c r="P310" i="1" s="1"/>
  <c r="J310" i="1"/>
  <c r="O310" i="1" s="1"/>
  <c r="I310" i="1"/>
  <c r="N310" i="1" s="1"/>
  <c r="L309" i="1"/>
  <c r="Q309" i="1" s="1"/>
  <c r="K309" i="1"/>
  <c r="P309" i="1" s="1"/>
  <c r="J309" i="1"/>
  <c r="O309" i="1" s="1"/>
  <c r="I309" i="1"/>
  <c r="N309" i="1" s="1"/>
  <c r="L308" i="1"/>
  <c r="Q308" i="1" s="1"/>
  <c r="K308" i="1"/>
  <c r="P308" i="1" s="1"/>
  <c r="J308" i="1"/>
  <c r="O308" i="1" s="1"/>
  <c r="I308" i="1"/>
  <c r="N308" i="1" s="1"/>
  <c r="L307" i="1"/>
  <c r="Q307" i="1" s="1"/>
  <c r="K307" i="1"/>
  <c r="P307" i="1" s="1"/>
  <c r="J307" i="1"/>
  <c r="O307" i="1" s="1"/>
  <c r="I307" i="1"/>
  <c r="N307" i="1" s="1"/>
  <c r="L306" i="1"/>
  <c r="Q306" i="1" s="1"/>
  <c r="K306" i="1"/>
  <c r="P306" i="1" s="1"/>
  <c r="J306" i="1"/>
  <c r="O306" i="1" s="1"/>
  <c r="I306" i="1"/>
  <c r="N306" i="1" s="1"/>
  <c r="L305" i="1"/>
  <c r="Q305" i="1" s="1"/>
  <c r="K305" i="1"/>
  <c r="P305" i="1" s="1"/>
  <c r="J305" i="1"/>
  <c r="O305" i="1" s="1"/>
  <c r="I305" i="1"/>
  <c r="N305" i="1" s="1"/>
  <c r="L304" i="1"/>
  <c r="Q304" i="1" s="1"/>
  <c r="K304" i="1"/>
  <c r="P304" i="1" s="1"/>
  <c r="J304" i="1"/>
  <c r="O304" i="1" s="1"/>
  <c r="I304" i="1"/>
  <c r="N304" i="1" s="1"/>
  <c r="L303" i="1"/>
  <c r="Q303" i="1" s="1"/>
  <c r="K303" i="1"/>
  <c r="P303" i="1" s="1"/>
  <c r="J303" i="1"/>
  <c r="O303" i="1" s="1"/>
  <c r="I303" i="1"/>
  <c r="N303" i="1" s="1"/>
  <c r="L302" i="1"/>
  <c r="Q302" i="1" s="1"/>
  <c r="K302" i="1"/>
  <c r="P302" i="1" s="1"/>
  <c r="J302" i="1"/>
  <c r="O302" i="1" s="1"/>
  <c r="I302" i="1"/>
  <c r="N302" i="1" s="1"/>
  <c r="L301" i="1"/>
  <c r="Q301" i="1" s="1"/>
  <c r="K301" i="1"/>
  <c r="P301" i="1" s="1"/>
  <c r="J301" i="1"/>
  <c r="O301" i="1" s="1"/>
  <c r="I301" i="1"/>
  <c r="N301" i="1" s="1"/>
  <c r="L300" i="1"/>
  <c r="Q300" i="1" s="1"/>
  <c r="K300" i="1"/>
  <c r="P300" i="1" s="1"/>
  <c r="J300" i="1"/>
  <c r="O300" i="1" s="1"/>
  <c r="I300" i="1"/>
  <c r="N300" i="1" s="1"/>
  <c r="L299" i="1"/>
  <c r="Q299" i="1" s="1"/>
  <c r="K299" i="1"/>
  <c r="P299" i="1" s="1"/>
  <c r="J299" i="1"/>
  <c r="O299" i="1" s="1"/>
  <c r="I299" i="1"/>
  <c r="N299" i="1" s="1"/>
  <c r="L298" i="1"/>
  <c r="Q298" i="1" s="1"/>
  <c r="K298" i="1"/>
  <c r="P298" i="1" s="1"/>
  <c r="J298" i="1"/>
  <c r="O298" i="1" s="1"/>
  <c r="I298" i="1"/>
  <c r="N298" i="1" s="1"/>
  <c r="L297" i="1"/>
  <c r="Q297" i="1" s="1"/>
  <c r="K297" i="1"/>
  <c r="P297" i="1" s="1"/>
  <c r="J297" i="1"/>
  <c r="O297" i="1" s="1"/>
  <c r="I297" i="1"/>
  <c r="N297" i="1" s="1"/>
  <c r="L296" i="1"/>
  <c r="Q296" i="1" s="1"/>
  <c r="K296" i="1"/>
  <c r="P296" i="1" s="1"/>
  <c r="J296" i="1"/>
  <c r="O296" i="1" s="1"/>
  <c r="I296" i="1"/>
  <c r="N296" i="1" s="1"/>
  <c r="L295" i="1"/>
  <c r="Q295" i="1" s="1"/>
  <c r="K295" i="1"/>
  <c r="P295" i="1" s="1"/>
  <c r="J295" i="1"/>
  <c r="O295" i="1" s="1"/>
  <c r="I295" i="1"/>
  <c r="N295" i="1" s="1"/>
  <c r="L294" i="1"/>
  <c r="Q294" i="1" s="1"/>
  <c r="K294" i="1"/>
  <c r="P294" i="1" s="1"/>
  <c r="J294" i="1"/>
  <c r="O294" i="1" s="1"/>
  <c r="I294" i="1"/>
  <c r="N294" i="1" s="1"/>
  <c r="L293" i="1"/>
  <c r="Q293" i="1" s="1"/>
  <c r="K293" i="1"/>
  <c r="P293" i="1" s="1"/>
  <c r="J293" i="1"/>
  <c r="O293" i="1" s="1"/>
  <c r="I293" i="1"/>
  <c r="N293" i="1" s="1"/>
  <c r="L292" i="1"/>
  <c r="Q292" i="1" s="1"/>
  <c r="K292" i="1"/>
  <c r="P292" i="1" s="1"/>
  <c r="J292" i="1"/>
  <c r="O292" i="1" s="1"/>
  <c r="I292" i="1"/>
  <c r="N292" i="1" s="1"/>
  <c r="L291" i="1"/>
  <c r="Q291" i="1" s="1"/>
  <c r="K291" i="1"/>
  <c r="P291" i="1" s="1"/>
  <c r="J291" i="1"/>
  <c r="O291" i="1" s="1"/>
  <c r="I291" i="1"/>
  <c r="N291" i="1" s="1"/>
  <c r="L290" i="1"/>
  <c r="Q290" i="1" s="1"/>
  <c r="K290" i="1"/>
  <c r="P290" i="1" s="1"/>
  <c r="J290" i="1"/>
  <c r="O290" i="1" s="1"/>
  <c r="I290" i="1"/>
  <c r="N290" i="1" s="1"/>
  <c r="L289" i="1"/>
  <c r="Q289" i="1" s="1"/>
  <c r="K289" i="1"/>
  <c r="P289" i="1" s="1"/>
  <c r="J289" i="1"/>
  <c r="O289" i="1" s="1"/>
  <c r="I289" i="1"/>
  <c r="N289" i="1" s="1"/>
  <c r="L288" i="1"/>
  <c r="Q288" i="1" s="1"/>
  <c r="K288" i="1"/>
  <c r="P288" i="1" s="1"/>
  <c r="J288" i="1"/>
  <c r="O288" i="1" s="1"/>
  <c r="I288" i="1"/>
  <c r="N288" i="1" s="1"/>
  <c r="L287" i="1"/>
  <c r="Q287" i="1" s="1"/>
  <c r="K287" i="1"/>
  <c r="P287" i="1" s="1"/>
  <c r="J287" i="1"/>
  <c r="O287" i="1" s="1"/>
  <c r="I287" i="1"/>
  <c r="N287" i="1" s="1"/>
  <c r="L286" i="1"/>
  <c r="Q286" i="1" s="1"/>
  <c r="K286" i="1"/>
  <c r="P286" i="1" s="1"/>
  <c r="J286" i="1"/>
  <c r="O286" i="1" s="1"/>
  <c r="I286" i="1"/>
  <c r="N286" i="1" s="1"/>
  <c r="L285" i="1"/>
  <c r="Q285" i="1" s="1"/>
  <c r="K285" i="1"/>
  <c r="P285" i="1" s="1"/>
  <c r="J285" i="1"/>
  <c r="O285" i="1" s="1"/>
  <c r="I285" i="1"/>
  <c r="N285" i="1" s="1"/>
  <c r="L284" i="1"/>
  <c r="Q284" i="1" s="1"/>
  <c r="K284" i="1"/>
  <c r="P284" i="1" s="1"/>
  <c r="J284" i="1"/>
  <c r="O284" i="1" s="1"/>
  <c r="I284" i="1"/>
  <c r="N284" i="1" s="1"/>
  <c r="L283" i="1"/>
  <c r="Q283" i="1" s="1"/>
  <c r="K283" i="1"/>
  <c r="P283" i="1" s="1"/>
  <c r="J283" i="1"/>
  <c r="O283" i="1" s="1"/>
  <c r="I283" i="1"/>
  <c r="N283" i="1" s="1"/>
  <c r="L282" i="1"/>
  <c r="Q282" i="1" s="1"/>
  <c r="K282" i="1"/>
  <c r="P282" i="1" s="1"/>
  <c r="J282" i="1"/>
  <c r="O282" i="1" s="1"/>
  <c r="I282" i="1"/>
  <c r="N282" i="1" s="1"/>
  <c r="L281" i="1"/>
  <c r="Q281" i="1" s="1"/>
  <c r="K281" i="1"/>
  <c r="P281" i="1" s="1"/>
  <c r="J281" i="1"/>
  <c r="O281" i="1" s="1"/>
  <c r="I281" i="1"/>
  <c r="N281" i="1" s="1"/>
  <c r="L280" i="1"/>
  <c r="Q280" i="1" s="1"/>
  <c r="K280" i="1"/>
  <c r="P280" i="1" s="1"/>
  <c r="J280" i="1"/>
  <c r="O280" i="1" s="1"/>
  <c r="I280" i="1"/>
  <c r="N280" i="1" s="1"/>
  <c r="L279" i="1"/>
  <c r="Q279" i="1" s="1"/>
  <c r="K279" i="1"/>
  <c r="P279" i="1" s="1"/>
  <c r="J279" i="1"/>
  <c r="O279" i="1" s="1"/>
  <c r="I279" i="1"/>
  <c r="N279" i="1" s="1"/>
  <c r="L278" i="1"/>
  <c r="Q278" i="1" s="1"/>
  <c r="K278" i="1"/>
  <c r="P278" i="1" s="1"/>
  <c r="J278" i="1"/>
  <c r="O278" i="1" s="1"/>
  <c r="I278" i="1"/>
  <c r="N278" i="1" s="1"/>
  <c r="L277" i="1"/>
  <c r="Q277" i="1" s="1"/>
  <c r="K277" i="1"/>
  <c r="P277" i="1" s="1"/>
  <c r="J277" i="1"/>
  <c r="O277" i="1" s="1"/>
  <c r="I277" i="1"/>
  <c r="N277" i="1" s="1"/>
  <c r="L276" i="1"/>
  <c r="Q276" i="1" s="1"/>
  <c r="K276" i="1"/>
  <c r="P276" i="1" s="1"/>
  <c r="J276" i="1"/>
  <c r="O276" i="1" s="1"/>
  <c r="I276" i="1"/>
  <c r="N276" i="1" s="1"/>
  <c r="L275" i="1"/>
  <c r="Q275" i="1" s="1"/>
  <c r="K275" i="1"/>
  <c r="P275" i="1" s="1"/>
  <c r="J275" i="1"/>
  <c r="O275" i="1" s="1"/>
  <c r="I275" i="1"/>
  <c r="N275" i="1" s="1"/>
  <c r="L274" i="1"/>
  <c r="Q274" i="1" s="1"/>
  <c r="K274" i="1"/>
  <c r="P274" i="1" s="1"/>
  <c r="J274" i="1"/>
  <c r="O274" i="1" s="1"/>
  <c r="I274" i="1"/>
  <c r="N274" i="1" s="1"/>
  <c r="L273" i="1"/>
  <c r="Q273" i="1" s="1"/>
  <c r="K273" i="1"/>
  <c r="P273" i="1" s="1"/>
  <c r="J273" i="1"/>
  <c r="O273" i="1" s="1"/>
  <c r="I273" i="1"/>
  <c r="N273" i="1" s="1"/>
  <c r="L272" i="1"/>
  <c r="Q272" i="1" s="1"/>
  <c r="K272" i="1"/>
  <c r="P272" i="1" s="1"/>
  <c r="J272" i="1"/>
  <c r="O272" i="1" s="1"/>
  <c r="I272" i="1"/>
  <c r="N272" i="1" s="1"/>
  <c r="L271" i="1"/>
  <c r="Q271" i="1" s="1"/>
  <c r="K271" i="1"/>
  <c r="P271" i="1" s="1"/>
  <c r="J271" i="1"/>
  <c r="O271" i="1" s="1"/>
  <c r="I271" i="1"/>
  <c r="N271" i="1" s="1"/>
  <c r="L270" i="1"/>
  <c r="Q270" i="1" s="1"/>
  <c r="K270" i="1"/>
  <c r="P270" i="1" s="1"/>
  <c r="J270" i="1"/>
  <c r="O270" i="1" s="1"/>
  <c r="I270" i="1"/>
  <c r="N270" i="1" s="1"/>
  <c r="L269" i="1"/>
  <c r="Q269" i="1" s="1"/>
  <c r="K269" i="1"/>
  <c r="P269" i="1" s="1"/>
  <c r="J269" i="1"/>
  <c r="O269" i="1" s="1"/>
  <c r="I269" i="1"/>
  <c r="N269" i="1" s="1"/>
  <c r="L268" i="1"/>
  <c r="Q268" i="1" s="1"/>
  <c r="K268" i="1"/>
  <c r="P268" i="1" s="1"/>
  <c r="J268" i="1"/>
  <c r="O268" i="1" s="1"/>
  <c r="I268" i="1"/>
  <c r="N268" i="1" s="1"/>
  <c r="L267" i="1"/>
  <c r="Q267" i="1" s="1"/>
  <c r="K267" i="1"/>
  <c r="P267" i="1" s="1"/>
  <c r="J267" i="1"/>
  <c r="O267" i="1" s="1"/>
  <c r="I267" i="1"/>
  <c r="N267" i="1" s="1"/>
  <c r="L266" i="1"/>
  <c r="Q266" i="1" s="1"/>
  <c r="K266" i="1"/>
  <c r="P266" i="1" s="1"/>
  <c r="J266" i="1"/>
  <c r="O266" i="1" s="1"/>
  <c r="I266" i="1"/>
  <c r="N266" i="1" s="1"/>
  <c r="L265" i="1"/>
  <c r="Q265" i="1" s="1"/>
  <c r="K265" i="1"/>
  <c r="P265" i="1" s="1"/>
  <c r="J265" i="1"/>
  <c r="O265" i="1" s="1"/>
  <c r="I265" i="1"/>
  <c r="N265" i="1" s="1"/>
  <c r="L264" i="1"/>
  <c r="Q264" i="1" s="1"/>
  <c r="K264" i="1"/>
  <c r="P264" i="1" s="1"/>
  <c r="J264" i="1"/>
  <c r="O264" i="1" s="1"/>
  <c r="I264" i="1"/>
  <c r="N264" i="1" s="1"/>
  <c r="L263" i="1"/>
  <c r="Q263" i="1" s="1"/>
  <c r="K263" i="1"/>
  <c r="P263" i="1" s="1"/>
  <c r="J263" i="1"/>
  <c r="O263" i="1" s="1"/>
  <c r="I263" i="1"/>
  <c r="N263" i="1" s="1"/>
  <c r="L262" i="1"/>
  <c r="Q262" i="1" s="1"/>
  <c r="K262" i="1"/>
  <c r="P262" i="1" s="1"/>
  <c r="J262" i="1"/>
  <c r="O262" i="1" s="1"/>
  <c r="I262" i="1"/>
  <c r="N262" i="1" s="1"/>
  <c r="L261" i="1"/>
  <c r="Q261" i="1" s="1"/>
  <c r="K261" i="1"/>
  <c r="P261" i="1" s="1"/>
  <c r="J261" i="1"/>
  <c r="O261" i="1" s="1"/>
  <c r="I261" i="1"/>
  <c r="N261" i="1" s="1"/>
  <c r="L260" i="1"/>
  <c r="Q260" i="1" s="1"/>
  <c r="K260" i="1"/>
  <c r="P260" i="1" s="1"/>
  <c r="J260" i="1"/>
  <c r="O260" i="1" s="1"/>
  <c r="I260" i="1"/>
  <c r="N260" i="1" s="1"/>
  <c r="L259" i="1"/>
  <c r="Q259" i="1" s="1"/>
  <c r="K259" i="1"/>
  <c r="P259" i="1" s="1"/>
  <c r="J259" i="1"/>
  <c r="O259" i="1" s="1"/>
  <c r="I259" i="1"/>
  <c r="N259" i="1" s="1"/>
  <c r="L258" i="1"/>
  <c r="Q258" i="1" s="1"/>
  <c r="K258" i="1"/>
  <c r="P258" i="1" s="1"/>
  <c r="J258" i="1"/>
  <c r="O258" i="1" s="1"/>
  <c r="I258" i="1"/>
  <c r="N258" i="1" s="1"/>
  <c r="L257" i="1"/>
  <c r="Q257" i="1" s="1"/>
  <c r="K257" i="1"/>
  <c r="P257" i="1" s="1"/>
  <c r="J257" i="1"/>
  <c r="O257" i="1" s="1"/>
  <c r="I257" i="1"/>
  <c r="N257" i="1" s="1"/>
  <c r="L256" i="1"/>
  <c r="Q256" i="1" s="1"/>
  <c r="K256" i="1"/>
  <c r="P256" i="1" s="1"/>
  <c r="J256" i="1"/>
  <c r="O256" i="1" s="1"/>
  <c r="I256" i="1"/>
  <c r="N256" i="1" s="1"/>
  <c r="L255" i="1"/>
  <c r="Q255" i="1" s="1"/>
  <c r="K255" i="1"/>
  <c r="P255" i="1" s="1"/>
  <c r="J255" i="1"/>
  <c r="O255" i="1" s="1"/>
  <c r="I255" i="1"/>
  <c r="N255" i="1" s="1"/>
  <c r="L254" i="1"/>
  <c r="Q254" i="1" s="1"/>
  <c r="K254" i="1"/>
  <c r="P254" i="1" s="1"/>
  <c r="J254" i="1"/>
  <c r="O254" i="1" s="1"/>
  <c r="I254" i="1"/>
  <c r="N254" i="1" s="1"/>
  <c r="L253" i="1"/>
  <c r="Q253" i="1" s="1"/>
  <c r="K253" i="1"/>
  <c r="P253" i="1" s="1"/>
  <c r="J253" i="1"/>
  <c r="O253" i="1" s="1"/>
  <c r="I253" i="1"/>
  <c r="N253" i="1" s="1"/>
  <c r="L252" i="1"/>
  <c r="Q252" i="1" s="1"/>
  <c r="K252" i="1"/>
  <c r="P252" i="1" s="1"/>
  <c r="J252" i="1"/>
  <c r="O252" i="1" s="1"/>
  <c r="I252" i="1"/>
  <c r="N252" i="1" s="1"/>
  <c r="L251" i="1"/>
  <c r="Q251" i="1" s="1"/>
  <c r="K251" i="1"/>
  <c r="P251" i="1" s="1"/>
  <c r="J251" i="1"/>
  <c r="O251" i="1" s="1"/>
  <c r="I251" i="1"/>
  <c r="N251" i="1" s="1"/>
  <c r="L250" i="1"/>
  <c r="Q250" i="1" s="1"/>
  <c r="K250" i="1"/>
  <c r="P250" i="1" s="1"/>
  <c r="J250" i="1"/>
  <c r="O250" i="1" s="1"/>
  <c r="I250" i="1"/>
  <c r="N250" i="1" s="1"/>
  <c r="L249" i="1"/>
  <c r="Q249" i="1" s="1"/>
  <c r="K249" i="1"/>
  <c r="P249" i="1" s="1"/>
  <c r="J249" i="1"/>
  <c r="O249" i="1" s="1"/>
  <c r="I249" i="1"/>
  <c r="N249" i="1" s="1"/>
  <c r="L248" i="1"/>
  <c r="Q248" i="1" s="1"/>
  <c r="K248" i="1"/>
  <c r="P248" i="1" s="1"/>
  <c r="J248" i="1"/>
  <c r="O248" i="1" s="1"/>
  <c r="I248" i="1"/>
  <c r="N248" i="1" s="1"/>
  <c r="L247" i="1"/>
  <c r="Q247" i="1" s="1"/>
  <c r="K247" i="1"/>
  <c r="P247" i="1" s="1"/>
  <c r="J247" i="1"/>
  <c r="O247" i="1" s="1"/>
  <c r="I247" i="1"/>
  <c r="N247" i="1" s="1"/>
  <c r="L246" i="1"/>
  <c r="Q246" i="1" s="1"/>
  <c r="K246" i="1"/>
  <c r="P246" i="1" s="1"/>
  <c r="J246" i="1"/>
  <c r="O246" i="1" s="1"/>
  <c r="I246" i="1"/>
  <c r="N246" i="1" s="1"/>
  <c r="L245" i="1"/>
  <c r="Q245" i="1" s="1"/>
  <c r="K245" i="1"/>
  <c r="P245" i="1" s="1"/>
  <c r="J245" i="1"/>
  <c r="O245" i="1" s="1"/>
  <c r="I245" i="1"/>
  <c r="N245" i="1" s="1"/>
  <c r="L244" i="1"/>
  <c r="Q244" i="1" s="1"/>
  <c r="K244" i="1"/>
  <c r="P244" i="1" s="1"/>
  <c r="J244" i="1"/>
  <c r="O244" i="1" s="1"/>
  <c r="I244" i="1"/>
  <c r="N244" i="1" s="1"/>
  <c r="L243" i="1"/>
  <c r="Q243" i="1" s="1"/>
  <c r="K243" i="1"/>
  <c r="P243" i="1" s="1"/>
  <c r="J243" i="1"/>
  <c r="O243" i="1" s="1"/>
  <c r="I243" i="1"/>
  <c r="N243" i="1" s="1"/>
  <c r="L242" i="1"/>
  <c r="Q242" i="1" s="1"/>
  <c r="K242" i="1"/>
  <c r="P242" i="1" s="1"/>
  <c r="J242" i="1"/>
  <c r="O242" i="1" s="1"/>
  <c r="I242" i="1"/>
  <c r="N242" i="1" s="1"/>
  <c r="L241" i="1"/>
  <c r="Q241" i="1" s="1"/>
  <c r="K241" i="1"/>
  <c r="P241" i="1" s="1"/>
  <c r="J241" i="1"/>
  <c r="O241" i="1" s="1"/>
  <c r="I241" i="1"/>
  <c r="N241" i="1" s="1"/>
  <c r="L240" i="1"/>
  <c r="Q240" i="1" s="1"/>
  <c r="K240" i="1"/>
  <c r="P240" i="1" s="1"/>
  <c r="J240" i="1"/>
  <c r="O240" i="1" s="1"/>
  <c r="I240" i="1"/>
  <c r="N240" i="1" s="1"/>
  <c r="L239" i="1"/>
  <c r="Q239" i="1" s="1"/>
  <c r="K239" i="1"/>
  <c r="P239" i="1" s="1"/>
  <c r="J239" i="1"/>
  <c r="O239" i="1" s="1"/>
  <c r="I239" i="1"/>
  <c r="N239" i="1" s="1"/>
  <c r="L238" i="1"/>
  <c r="Q238" i="1" s="1"/>
  <c r="K238" i="1"/>
  <c r="P238" i="1" s="1"/>
  <c r="J238" i="1"/>
  <c r="O238" i="1" s="1"/>
  <c r="I238" i="1"/>
  <c r="N238" i="1" s="1"/>
  <c r="L237" i="1"/>
  <c r="Q237" i="1" s="1"/>
  <c r="K237" i="1"/>
  <c r="P237" i="1" s="1"/>
  <c r="J237" i="1"/>
  <c r="O237" i="1" s="1"/>
  <c r="I237" i="1"/>
  <c r="N237" i="1" s="1"/>
  <c r="L236" i="1"/>
  <c r="Q236" i="1" s="1"/>
  <c r="K236" i="1"/>
  <c r="P236" i="1" s="1"/>
  <c r="J236" i="1"/>
  <c r="O236" i="1" s="1"/>
  <c r="I236" i="1"/>
  <c r="N236" i="1" s="1"/>
  <c r="L235" i="1"/>
  <c r="Q235" i="1" s="1"/>
  <c r="K235" i="1"/>
  <c r="P235" i="1" s="1"/>
  <c r="J235" i="1"/>
  <c r="O235" i="1" s="1"/>
  <c r="I235" i="1"/>
  <c r="N235" i="1" s="1"/>
  <c r="L234" i="1"/>
  <c r="Q234" i="1" s="1"/>
  <c r="K234" i="1"/>
  <c r="P234" i="1" s="1"/>
  <c r="J234" i="1"/>
  <c r="O234" i="1" s="1"/>
  <c r="I234" i="1"/>
  <c r="N234" i="1" s="1"/>
  <c r="L233" i="1"/>
  <c r="Q233" i="1" s="1"/>
  <c r="K233" i="1"/>
  <c r="P233" i="1" s="1"/>
  <c r="J233" i="1"/>
  <c r="O233" i="1" s="1"/>
  <c r="I233" i="1"/>
  <c r="N233" i="1" s="1"/>
  <c r="L232" i="1"/>
  <c r="Q232" i="1" s="1"/>
  <c r="K232" i="1"/>
  <c r="P232" i="1" s="1"/>
  <c r="J232" i="1"/>
  <c r="O232" i="1" s="1"/>
  <c r="I232" i="1"/>
  <c r="N232" i="1" s="1"/>
  <c r="L231" i="1"/>
  <c r="Q231" i="1" s="1"/>
  <c r="K231" i="1"/>
  <c r="P231" i="1" s="1"/>
  <c r="J231" i="1"/>
  <c r="O231" i="1" s="1"/>
  <c r="I231" i="1"/>
  <c r="N231" i="1" s="1"/>
  <c r="L230" i="1"/>
  <c r="Q230" i="1" s="1"/>
  <c r="K230" i="1"/>
  <c r="P230" i="1" s="1"/>
  <c r="J230" i="1"/>
  <c r="O230" i="1" s="1"/>
  <c r="I230" i="1"/>
  <c r="N230" i="1" s="1"/>
  <c r="L229" i="1"/>
  <c r="Q229" i="1" s="1"/>
  <c r="K229" i="1"/>
  <c r="P229" i="1" s="1"/>
  <c r="J229" i="1"/>
  <c r="O229" i="1" s="1"/>
  <c r="I229" i="1"/>
  <c r="N229" i="1" s="1"/>
  <c r="L228" i="1"/>
  <c r="Q228" i="1" s="1"/>
  <c r="K228" i="1"/>
  <c r="P228" i="1" s="1"/>
  <c r="J228" i="1"/>
  <c r="O228" i="1" s="1"/>
  <c r="I228" i="1"/>
  <c r="N228" i="1" s="1"/>
  <c r="L227" i="1"/>
  <c r="Q227" i="1" s="1"/>
  <c r="K227" i="1"/>
  <c r="P227" i="1" s="1"/>
  <c r="J227" i="1"/>
  <c r="O227" i="1" s="1"/>
  <c r="I227" i="1"/>
  <c r="N227" i="1" s="1"/>
  <c r="L226" i="1"/>
  <c r="Q226" i="1" s="1"/>
  <c r="K226" i="1"/>
  <c r="P226" i="1" s="1"/>
  <c r="J226" i="1"/>
  <c r="O226" i="1" s="1"/>
  <c r="I226" i="1"/>
  <c r="N226" i="1" s="1"/>
  <c r="L225" i="1"/>
  <c r="Q225" i="1" s="1"/>
  <c r="K225" i="1"/>
  <c r="P225" i="1" s="1"/>
  <c r="J225" i="1"/>
  <c r="O225" i="1" s="1"/>
  <c r="I225" i="1"/>
  <c r="N225" i="1" s="1"/>
  <c r="L224" i="1"/>
  <c r="Q224" i="1" s="1"/>
  <c r="K224" i="1"/>
  <c r="P224" i="1" s="1"/>
  <c r="J224" i="1"/>
  <c r="O224" i="1" s="1"/>
  <c r="I224" i="1"/>
  <c r="N224" i="1" s="1"/>
  <c r="L223" i="1"/>
  <c r="Q223" i="1" s="1"/>
  <c r="K223" i="1"/>
  <c r="P223" i="1" s="1"/>
  <c r="J223" i="1"/>
  <c r="O223" i="1" s="1"/>
  <c r="I223" i="1"/>
  <c r="N223" i="1" s="1"/>
  <c r="L222" i="1"/>
  <c r="Q222" i="1" s="1"/>
  <c r="K222" i="1"/>
  <c r="P222" i="1" s="1"/>
  <c r="J222" i="1"/>
  <c r="O222" i="1" s="1"/>
  <c r="I222" i="1"/>
  <c r="N222" i="1" s="1"/>
  <c r="L221" i="1"/>
  <c r="Q221" i="1" s="1"/>
  <c r="K221" i="1"/>
  <c r="P221" i="1" s="1"/>
  <c r="J221" i="1"/>
  <c r="O221" i="1" s="1"/>
  <c r="I221" i="1"/>
  <c r="N221" i="1" s="1"/>
  <c r="L220" i="1"/>
  <c r="Q220" i="1" s="1"/>
  <c r="K220" i="1"/>
  <c r="P220" i="1" s="1"/>
  <c r="J220" i="1"/>
  <c r="O220" i="1" s="1"/>
  <c r="I220" i="1"/>
  <c r="N220" i="1" s="1"/>
  <c r="L219" i="1"/>
  <c r="Q219" i="1" s="1"/>
  <c r="K219" i="1"/>
  <c r="P219" i="1" s="1"/>
  <c r="J219" i="1"/>
  <c r="O219" i="1" s="1"/>
  <c r="I219" i="1"/>
  <c r="N219" i="1" s="1"/>
  <c r="L218" i="1"/>
  <c r="Q218" i="1" s="1"/>
  <c r="K218" i="1"/>
  <c r="P218" i="1" s="1"/>
  <c r="J218" i="1"/>
  <c r="O218" i="1" s="1"/>
  <c r="I218" i="1"/>
  <c r="N218" i="1" s="1"/>
  <c r="L217" i="1"/>
  <c r="Q217" i="1" s="1"/>
  <c r="K217" i="1"/>
  <c r="P217" i="1" s="1"/>
  <c r="J217" i="1"/>
  <c r="O217" i="1" s="1"/>
  <c r="I217" i="1"/>
  <c r="N217" i="1" s="1"/>
  <c r="L216" i="1"/>
  <c r="Q216" i="1" s="1"/>
  <c r="K216" i="1"/>
  <c r="P216" i="1" s="1"/>
  <c r="J216" i="1"/>
  <c r="O216" i="1" s="1"/>
  <c r="I216" i="1"/>
  <c r="N216" i="1" s="1"/>
  <c r="L215" i="1"/>
  <c r="Q215" i="1" s="1"/>
  <c r="K215" i="1"/>
  <c r="P215" i="1" s="1"/>
  <c r="J215" i="1"/>
  <c r="O215" i="1" s="1"/>
  <c r="I215" i="1"/>
  <c r="N215" i="1" s="1"/>
  <c r="L214" i="1"/>
  <c r="Q214" i="1" s="1"/>
  <c r="K214" i="1"/>
  <c r="P214" i="1" s="1"/>
  <c r="J214" i="1"/>
  <c r="O214" i="1" s="1"/>
  <c r="I214" i="1"/>
  <c r="N214" i="1" s="1"/>
  <c r="L213" i="1"/>
  <c r="Q213" i="1" s="1"/>
  <c r="K213" i="1"/>
  <c r="P213" i="1" s="1"/>
  <c r="J213" i="1"/>
  <c r="O213" i="1" s="1"/>
  <c r="I213" i="1"/>
  <c r="N213" i="1" s="1"/>
  <c r="L212" i="1"/>
  <c r="Q212" i="1" s="1"/>
  <c r="K212" i="1"/>
  <c r="P212" i="1" s="1"/>
  <c r="J212" i="1"/>
  <c r="O212" i="1" s="1"/>
  <c r="I212" i="1"/>
  <c r="N212" i="1" s="1"/>
  <c r="L211" i="1"/>
  <c r="Q211" i="1" s="1"/>
  <c r="K211" i="1"/>
  <c r="P211" i="1" s="1"/>
  <c r="J211" i="1"/>
  <c r="O211" i="1" s="1"/>
  <c r="I211" i="1"/>
  <c r="N211" i="1" s="1"/>
  <c r="L210" i="1"/>
  <c r="Q210" i="1" s="1"/>
  <c r="K210" i="1"/>
  <c r="P210" i="1" s="1"/>
  <c r="J210" i="1"/>
  <c r="O210" i="1" s="1"/>
  <c r="I210" i="1"/>
  <c r="N210" i="1" s="1"/>
  <c r="L209" i="1"/>
  <c r="Q209" i="1" s="1"/>
  <c r="K209" i="1"/>
  <c r="P209" i="1" s="1"/>
  <c r="J209" i="1"/>
  <c r="O209" i="1" s="1"/>
  <c r="I209" i="1"/>
  <c r="N209" i="1" s="1"/>
  <c r="L208" i="1"/>
  <c r="Q208" i="1" s="1"/>
  <c r="K208" i="1"/>
  <c r="P208" i="1" s="1"/>
  <c r="J208" i="1"/>
  <c r="O208" i="1" s="1"/>
  <c r="I208" i="1"/>
  <c r="N208" i="1" s="1"/>
  <c r="L207" i="1"/>
  <c r="Q207" i="1" s="1"/>
  <c r="K207" i="1"/>
  <c r="P207" i="1" s="1"/>
  <c r="J207" i="1"/>
  <c r="O207" i="1" s="1"/>
  <c r="I207" i="1"/>
  <c r="N207" i="1" s="1"/>
  <c r="L206" i="1"/>
  <c r="Q206" i="1" s="1"/>
  <c r="K206" i="1"/>
  <c r="P206" i="1" s="1"/>
  <c r="J206" i="1"/>
  <c r="O206" i="1" s="1"/>
  <c r="I206" i="1"/>
  <c r="N206" i="1" s="1"/>
  <c r="L205" i="1"/>
  <c r="Q205" i="1" s="1"/>
  <c r="K205" i="1"/>
  <c r="P205" i="1" s="1"/>
  <c r="J205" i="1"/>
  <c r="O205" i="1" s="1"/>
  <c r="I205" i="1"/>
  <c r="N205" i="1" s="1"/>
  <c r="L204" i="1"/>
  <c r="Q204" i="1" s="1"/>
  <c r="K204" i="1"/>
  <c r="P204" i="1" s="1"/>
  <c r="J204" i="1"/>
  <c r="O204" i="1" s="1"/>
  <c r="I204" i="1"/>
  <c r="N204" i="1" s="1"/>
  <c r="L203" i="1"/>
  <c r="Q203" i="1" s="1"/>
  <c r="K203" i="1"/>
  <c r="P203" i="1" s="1"/>
  <c r="J203" i="1"/>
  <c r="O203" i="1" s="1"/>
  <c r="I203" i="1"/>
  <c r="N203" i="1" s="1"/>
  <c r="L202" i="1"/>
  <c r="Q202" i="1" s="1"/>
  <c r="K202" i="1"/>
  <c r="P202" i="1" s="1"/>
  <c r="J202" i="1"/>
  <c r="O202" i="1" s="1"/>
  <c r="I202" i="1"/>
  <c r="N202" i="1" s="1"/>
  <c r="L201" i="1"/>
  <c r="Q201" i="1" s="1"/>
  <c r="K201" i="1"/>
  <c r="P201" i="1" s="1"/>
  <c r="J201" i="1"/>
  <c r="O201" i="1" s="1"/>
  <c r="I201" i="1"/>
  <c r="N201" i="1" s="1"/>
  <c r="L200" i="1"/>
  <c r="Q200" i="1" s="1"/>
  <c r="K200" i="1"/>
  <c r="P200" i="1" s="1"/>
  <c r="J200" i="1"/>
  <c r="O200" i="1" s="1"/>
  <c r="I200" i="1"/>
  <c r="N200" i="1" s="1"/>
  <c r="L199" i="1"/>
  <c r="Q199" i="1" s="1"/>
  <c r="K199" i="1"/>
  <c r="P199" i="1" s="1"/>
  <c r="J199" i="1"/>
  <c r="O199" i="1" s="1"/>
  <c r="I199" i="1"/>
  <c r="N199" i="1" s="1"/>
  <c r="L198" i="1"/>
  <c r="Q198" i="1" s="1"/>
  <c r="K198" i="1"/>
  <c r="P198" i="1" s="1"/>
  <c r="J198" i="1"/>
  <c r="O198" i="1" s="1"/>
  <c r="I198" i="1"/>
  <c r="N198" i="1" s="1"/>
  <c r="L197" i="1"/>
  <c r="Q197" i="1" s="1"/>
  <c r="K197" i="1"/>
  <c r="P197" i="1" s="1"/>
  <c r="J197" i="1"/>
  <c r="O197" i="1" s="1"/>
  <c r="I197" i="1"/>
  <c r="N197" i="1" s="1"/>
  <c r="L196" i="1"/>
  <c r="Q196" i="1" s="1"/>
  <c r="K196" i="1"/>
  <c r="P196" i="1" s="1"/>
  <c r="J196" i="1"/>
  <c r="O196" i="1" s="1"/>
  <c r="I196" i="1"/>
  <c r="N196" i="1" s="1"/>
  <c r="L195" i="1"/>
  <c r="Q195" i="1" s="1"/>
  <c r="K195" i="1"/>
  <c r="P195" i="1" s="1"/>
  <c r="J195" i="1"/>
  <c r="O195" i="1" s="1"/>
  <c r="I195" i="1"/>
  <c r="N195" i="1" s="1"/>
  <c r="L194" i="1"/>
  <c r="Q194" i="1" s="1"/>
  <c r="K194" i="1"/>
  <c r="P194" i="1" s="1"/>
  <c r="J194" i="1"/>
  <c r="O194" i="1" s="1"/>
  <c r="I194" i="1"/>
  <c r="N194" i="1" s="1"/>
  <c r="L193" i="1"/>
  <c r="Q193" i="1" s="1"/>
  <c r="K193" i="1"/>
  <c r="P193" i="1" s="1"/>
  <c r="J193" i="1"/>
  <c r="O193" i="1" s="1"/>
  <c r="I193" i="1"/>
  <c r="N193" i="1" s="1"/>
  <c r="L192" i="1"/>
  <c r="Q192" i="1" s="1"/>
  <c r="K192" i="1"/>
  <c r="P192" i="1" s="1"/>
  <c r="J192" i="1"/>
  <c r="O192" i="1" s="1"/>
  <c r="I192" i="1"/>
  <c r="N192" i="1" s="1"/>
  <c r="L191" i="1"/>
  <c r="Q191" i="1" s="1"/>
  <c r="K191" i="1"/>
  <c r="P191" i="1" s="1"/>
  <c r="J191" i="1"/>
  <c r="O191" i="1" s="1"/>
  <c r="I191" i="1"/>
  <c r="N191" i="1" s="1"/>
  <c r="L190" i="1"/>
  <c r="Q190" i="1" s="1"/>
  <c r="K190" i="1"/>
  <c r="P190" i="1" s="1"/>
  <c r="J190" i="1"/>
  <c r="O190" i="1" s="1"/>
  <c r="I190" i="1"/>
  <c r="N190" i="1" s="1"/>
  <c r="L189" i="1"/>
  <c r="Q189" i="1" s="1"/>
  <c r="K189" i="1"/>
  <c r="P189" i="1" s="1"/>
  <c r="J189" i="1"/>
  <c r="O189" i="1" s="1"/>
  <c r="I189" i="1"/>
  <c r="N189" i="1" s="1"/>
  <c r="L188" i="1"/>
  <c r="Q188" i="1" s="1"/>
  <c r="K188" i="1"/>
  <c r="P188" i="1" s="1"/>
  <c r="J188" i="1"/>
  <c r="O188" i="1" s="1"/>
  <c r="I188" i="1"/>
  <c r="N188" i="1" s="1"/>
  <c r="L187" i="1"/>
  <c r="Q187" i="1" s="1"/>
  <c r="K187" i="1"/>
  <c r="P187" i="1" s="1"/>
  <c r="J187" i="1"/>
  <c r="O187" i="1" s="1"/>
  <c r="I187" i="1"/>
  <c r="N187" i="1" s="1"/>
  <c r="L186" i="1"/>
  <c r="Q186" i="1" s="1"/>
  <c r="K186" i="1"/>
  <c r="P186" i="1" s="1"/>
  <c r="J186" i="1"/>
  <c r="O186" i="1" s="1"/>
  <c r="I186" i="1"/>
  <c r="N186" i="1" s="1"/>
  <c r="L185" i="1"/>
  <c r="Q185" i="1" s="1"/>
  <c r="K185" i="1"/>
  <c r="P185" i="1" s="1"/>
  <c r="J185" i="1"/>
  <c r="O185" i="1" s="1"/>
  <c r="I185" i="1"/>
  <c r="N185" i="1" s="1"/>
  <c r="L184" i="1"/>
  <c r="Q184" i="1" s="1"/>
  <c r="K184" i="1"/>
  <c r="P184" i="1" s="1"/>
  <c r="J184" i="1"/>
  <c r="O184" i="1" s="1"/>
  <c r="I184" i="1"/>
  <c r="N184" i="1" s="1"/>
  <c r="L183" i="1"/>
  <c r="Q183" i="1" s="1"/>
  <c r="K183" i="1"/>
  <c r="P183" i="1" s="1"/>
  <c r="J183" i="1"/>
  <c r="O183" i="1" s="1"/>
  <c r="I183" i="1"/>
  <c r="N183" i="1" s="1"/>
  <c r="L182" i="1"/>
  <c r="Q182" i="1" s="1"/>
  <c r="K182" i="1"/>
  <c r="P182" i="1" s="1"/>
  <c r="J182" i="1"/>
  <c r="O182" i="1" s="1"/>
  <c r="I182" i="1"/>
  <c r="N182" i="1" s="1"/>
  <c r="L181" i="1"/>
  <c r="Q181" i="1" s="1"/>
  <c r="K181" i="1"/>
  <c r="P181" i="1" s="1"/>
  <c r="J181" i="1"/>
  <c r="O181" i="1" s="1"/>
  <c r="I181" i="1"/>
  <c r="N181" i="1" s="1"/>
  <c r="L180" i="1"/>
  <c r="Q180" i="1" s="1"/>
  <c r="K180" i="1"/>
  <c r="P180" i="1" s="1"/>
  <c r="J180" i="1"/>
  <c r="O180" i="1" s="1"/>
  <c r="I180" i="1"/>
  <c r="N180" i="1" s="1"/>
  <c r="L179" i="1"/>
  <c r="Q179" i="1" s="1"/>
  <c r="K179" i="1"/>
  <c r="P179" i="1" s="1"/>
  <c r="J179" i="1"/>
  <c r="O179" i="1" s="1"/>
  <c r="I179" i="1"/>
  <c r="N179" i="1" s="1"/>
  <c r="L178" i="1"/>
  <c r="Q178" i="1" s="1"/>
  <c r="K178" i="1"/>
  <c r="P178" i="1" s="1"/>
  <c r="J178" i="1"/>
  <c r="O178" i="1" s="1"/>
  <c r="I178" i="1"/>
  <c r="N178" i="1" s="1"/>
  <c r="L177" i="1"/>
  <c r="Q177" i="1" s="1"/>
  <c r="K177" i="1"/>
  <c r="P177" i="1" s="1"/>
  <c r="J177" i="1"/>
  <c r="O177" i="1" s="1"/>
  <c r="I177" i="1"/>
  <c r="N177" i="1" s="1"/>
  <c r="L176" i="1"/>
  <c r="Q176" i="1" s="1"/>
  <c r="K176" i="1"/>
  <c r="P176" i="1" s="1"/>
  <c r="J176" i="1"/>
  <c r="O176" i="1" s="1"/>
  <c r="I176" i="1"/>
  <c r="N176" i="1" s="1"/>
  <c r="L175" i="1"/>
  <c r="Q175" i="1" s="1"/>
  <c r="K175" i="1"/>
  <c r="P175" i="1" s="1"/>
  <c r="J175" i="1"/>
  <c r="O175" i="1" s="1"/>
  <c r="I175" i="1"/>
  <c r="N175" i="1" s="1"/>
  <c r="L174" i="1"/>
  <c r="Q174" i="1" s="1"/>
  <c r="K174" i="1"/>
  <c r="P174" i="1" s="1"/>
  <c r="J174" i="1"/>
  <c r="O174" i="1" s="1"/>
  <c r="I174" i="1"/>
  <c r="N174" i="1" s="1"/>
  <c r="L173" i="1"/>
  <c r="Q173" i="1" s="1"/>
  <c r="K173" i="1"/>
  <c r="P173" i="1" s="1"/>
  <c r="J173" i="1"/>
  <c r="O173" i="1" s="1"/>
  <c r="I173" i="1"/>
  <c r="N173" i="1" s="1"/>
  <c r="L172" i="1"/>
  <c r="Q172" i="1" s="1"/>
  <c r="K172" i="1"/>
  <c r="P172" i="1" s="1"/>
  <c r="J172" i="1"/>
  <c r="O172" i="1" s="1"/>
  <c r="I172" i="1"/>
  <c r="N172" i="1" s="1"/>
  <c r="L171" i="1"/>
  <c r="Q171" i="1" s="1"/>
  <c r="K171" i="1"/>
  <c r="P171" i="1" s="1"/>
  <c r="J171" i="1"/>
  <c r="O171" i="1" s="1"/>
  <c r="I171" i="1"/>
  <c r="N171" i="1" s="1"/>
  <c r="L170" i="1"/>
  <c r="Q170" i="1" s="1"/>
  <c r="K170" i="1"/>
  <c r="P170" i="1" s="1"/>
  <c r="J170" i="1"/>
  <c r="O170" i="1" s="1"/>
  <c r="I170" i="1"/>
  <c r="N170" i="1" s="1"/>
  <c r="L169" i="1"/>
  <c r="Q169" i="1" s="1"/>
  <c r="K169" i="1"/>
  <c r="P169" i="1" s="1"/>
  <c r="J169" i="1"/>
  <c r="O169" i="1" s="1"/>
  <c r="I169" i="1"/>
  <c r="N169" i="1" s="1"/>
  <c r="L168" i="1"/>
  <c r="Q168" i="1" s="1"/>
  <c r="K168" i="1"/>
  <c r="P168" i="1" s="1"/>
  <c r="J168" i="1"/>
  <c r="O168" i="1" s="1"/>
  <c r="I168" i="1"/>
  <c r="N168" i="1" s="1"/>
  <c r="L167" i="1"/>
  <c r="Q167" i="1" s="1"/>
  <c r="K167" i="1"/>
  <c r="P167" i="1" s="1"/>
  <c r="J167" i="1"/>
  <c r="O167" i="1" s="1"/>
  <c r="I167" i="1"/>
  <c r="N167" i="1" s="1"/>
  <c r="L166" i="1"/>
  <c r="Q166" i="1" s="1"/>
  <c r="K166" i="1"/>
  <c r="P166" i="1" s="1"/>
  <c r="J166" i="1"/>
  <c r="O166" i="1" s="1"/>
  <c r="I166" i="1"/>
  <c r="N166" i="1" s="1"/>
  <c r="L165" i="1"/>
  <c r="Q165" i="1" s="1"/>
  <c r="K165" i="1"/>
  <c r="P165" i="1" s="1"/>
  <c r="J165" i="1"/>
  <c r="O165" i="1" s="1"/>
  <c r="I165" i="1"/>
  <c r="N165" i="1" s="1"/>
  <c r="L164" i="1"/>
  <c r="Q164" i="1" s="1"/>
  <c r="K164" i="1"/>
  <c r="P164" i="1" s="1"/>
  <c r="J164" i="1"/>
  <c r="O164" i="1" s="1"/>
  <c r="I164" i="1"/>
  <c r="N164" i="1" s="1"/>
  <c r="L163" i="1"/>
  <c r="Q163" i="1" s="1"/>
  <c r="K163" i="1"/>
  <c r="P163" i="1" s="1"/>
  <c r="J163" i="1"/>
  <c r="O163" i="1" s="1"/>
  <c r="I163" i="1"/>
  <c r="N163" i="1" s="1"/>
  <c r="L162" i="1"/>
  <c r="Q162" i="1" s="1"/>
  <c r="K162" i="1"/>
  <c r="P162" i="1" s="1"/>
  <c r="J162" i="1"/>
  <c r="O162" i="1" s="1"/>
  <c r="I162" i="1"/>
  <c r="N162" i="1" s="1"/>
  <c r="L161" i="1"/>
  <c r="Q161" i="1" s="1"/>
  <c r="K161" i="1"/>
  <c r="P161" i="1" s="1"/>
  <c r="J161" i="1"/>
  <c r="O161" i="1" s="1"/>
  <c r="I161" i="1"/>
  <c r="N161" i="1" s="1"/>
  <c r="L160" i="1"/>
  <c r="Q160" i="1" s="1"/>
  <c r="K160" i="1"/>
  <c r="P160" i="1" s="1"/>
  <c r="J160" i="1"/>
  <c r="O160" i="1" s="1"/>
  <c r="I160" i="1"/>
  <c r="N160" i="1" s="1"/>
  <c r="L159" i="1"/>
  <c r="Q159" i="1" s="1"/>
  <c r="K159" i="1"/>
  <c r="P159" i="1" s="1"/>
  <c r="J159" i="1"/>
  <c r="O159" i="1" s="1"/>
  <c r="I159" i="1"/>
  <c r="N159" i="1" s="1"/>
  <c r="L158" i="1"/>
  <c r="Q158" i="1" s="1"/>
  <c r="K158" i="1"/>
  <c r="P158" i="1" s="1"/>
  <c r="J158" i="1"/>
  <c r="O158" i="1" s="1"/>
  <c r="I158" i="1"/>
  <c r="N158" i="1" s="1"/>
  <c r="L157" i="1"/>
  <c r="Q157" i="1" s="1"/>
  <c r="K157" i="1"/>
  <c r="P157" i="1" s="1"/>
  <c r="J157" i="1"/>
  <c r="O157" i="1" s="1"/>
  <c r="I157" i="1"/>
  <c r="N157" i="1" s="1"/>
  <c r="L156" i="1"/>
  <c r="Q156" i="1" s="1"/>
  <c r="K156" i="1"/>
  <c r="P156" i="1" s="1"/>
  <c r="J156" i="1"/>
  <c r="O156" i="1" s="1"/>
  <c r="I156" i="1"/>
  <c r="N156" i="1" s="1"/>
  <c r="L155" i="1"/>
  <c r="Q155" i="1" s="1"/>
  <c r="K155" i="1"/>
  <c r="P155" i="1" s="1"/>
  <c r="J155" i="1"/>
  <c r="O155" i="1" s="1"/>
  <c r="I155" i="1"/>
  <c r="N155" i="1" s="1"/>
  <c r="L154" i="1"/>
  <c r="Q154" i="1" s="1"/>
  <c r="K154" i="1"/>
  <c r="P154" i="1" s="1"/>
  <c r="J154" i="1"/>
  <c r="O154" i="1" s="1"/>
  <c r="I154" i="1"/>
  <c r="N154" i="1" s="1"/>
  <c r="L153" i="1"/>
  <c r="Q153" i="1" s="1"/>
  <c r="K153" i="1"/>
  <c r="P153" i="1" s="1"/>
  <c r="J153" i="1"/>
  <c r="O153" i="1" s="1"/>
  <c r="I153" i="1"/>
  <c r="N153" i="1" s="1"/>
  <c r="L152" i="1"/>
  <c r="Q152" i="1" s="1"/>
  <c r="K152" i="1"/>
  <c r="P152" i="1" s="1"/>
  <c r="J152" i="1"/>
  <c r="O152" i="1" s="1"/>
  <c r="I152" i="1"/>
  <c r="N152" i="1" s="1"/>
  <c r="L151" i="1"/>
  <c r="Q151" i="1" s="1"/>
  <c r="K151" i="1"/>
  <c r="P151" i="1" s="1"/>
  <c r="J151" i="1"/>
  <c r="O151" i="1" s="1"/>
  <c r="I151" i="1"/>
  <c r="N151" i="1" s="1"/>
  <c r="L150" i="1"/>
  <c r="Q150" i="1" s="1"/>
  <c r="K150" i="1"/>
  <c r="P150" i="1" s="1"/>
  <c r="J150" i="1"/>
  <c r="O150" i="1" s="1"/>
  <c r="I150" i="1"/>
  <c r="N150" i="1" s="1"/>
  <c r="L149" i="1"/>
  <c r="Q149" i="1" s="1"/>
  <c r="K149" i="1"/>
  <c r="P149" i="1" s="1"/>
  <c r="J149" i="1"/>
  <c r="O149" i="1" s="1"/>
  <c r="I149" i="1"/>
  <c r="N149" i="1" s="1"/>
  <c r="L148" i="1"/>
  <c r="Q148" i="1" s="1"/>
  <c r="K148" i="1"/>
  <c r="P148" i="1" s="1"/>
  <c r="J148" i="1"/>
  <c r="O148" i="1" s="1"/>
  <c r="I148" i="1"/>
  <c r="N148" i="1" s="1"/>
  <c r="L147" i="1"/>
  <c r="Q147" i="1" s="1"/>
  <c r="K147" i="1"/>
  <c r="P147" i="1" s="1"/>
  <c r="J147" i="1"/>
  <c r="O147" i="1" s="1"/>
  <c r="I147" i="1"/>
  <c r="N147" i="1" s="1"/>
  <c r="L146" i="1"/>
  <c r="Q146" i="1" s="1"/>
  <c r="K146" i="1"/>
  <c r="P146" i="1" s="1"/>
  <c r="J146" i="1"/>
  <c r="O146" i="1" s="1"/>
  <c r="I146" i="1"/>
  <c r="N146" i="1" s="1"/>
  <c r="L145" i="1"/>
  <c r="Q145" i="1" s="1"/>
  <c r="K145" i="1"/>
  <c r="P145" i="1" s="1"/>
  <c r="J145" i="1"/>
  <c r="O145" i="1" s="1"/>
  <c r="I145" i="1"/>
  <c r="N145" i="1" s="1"/>
  <c r="L144" i="1"/>
  <c r="Q144" i="1" s="1"/>
  <c r="K144" i="1"/>
  <c r="P144" i="1" s="1"/>
  <c r="J144" i="1"/>
  <c r="O144" i="1" s="1"/>
  <c r="I144" i="1"/>
  <c r="N144" i="1" s="1"/>
  <c r="L143" i="1"/>
  <c r="Q143" i="1" s="1"/>
  <c r="K143" i="1"/>
  <c r="P143" i="1" s="1"/>
  <c r="J143" i="1"/>
  <c r="O143" i="1" s="1"/>
  <c r="I143" i="1"/>
  <c r="N143" i="1" s="1"/>
  <c r="L142" i="1"/>
  <c r="Q142" i="1" s="1"/>
  <c r="K142" i="1"/>
  <c r="P142" i="1" s="1"/>
  <c r="J142" i="1"/>
  <c r="O142" i="1" s="1"/>
  <c r="I142" i="1"/>
  <c r="N142" i="1" s="1"/>
  <c r="L141" i="1"/>
  <c r="Q141" i="1" s="1"/>
  <c r="K141" i="1"/>
  <c r="P141" i="1" s="1"/>
  <c r="J141" i="1"/>
  <c r="O141" i="1" s="1"/>
  <c r="I141" i="1"/>
  <c r="N141" i="1" s="1"/>
  <c r="L140" i="1"/>
  <c r="Q140" i="1" s="1"/>
  <c r="K140" i="1"/>
  <c r="P140" i="1" s="1"/>
  <c r="J140" i="1"/>
  <c r="O140" i="1" s="1"/>
  <c r="I140" i="1"/>
  <c r="N140" i="1" s="1"/>
  <c r="L139" i="1"/>
  <c r="Q139" i="1" s="1"/>
  <c r="K139" i="1"/>
  <c r="P139" i="1" s="1"/>
  <c r="J139" i="1"/>
  <c r="O139" i="1" s="1"/>
  <c r="I139" i="1"/>
  <c r="N139" i="1" s="1"/>
  <c r="L138" i="1"/>
  <c r="Q138" i="1" s="1"/>
  <c r="K138" i="1"/>
  <c r="P138" i="1" s="1"/>
  <c r="J138" i="1"/>
  <c r="O138" i="1" s="1"/>
  <c r="I138" i="1"/>
  <c r="N138" i="1" s="1"/>
  <c r="L137" i="1"/>
  <c r="Q137" i="1" s="1"/>
  <c r="K137" i="1"/>
  <c r="P137" i="1" s="1"/>
  <c r="J137" i="1"/>
  <c r="O137" i="1" s="1"/>
  <c r="I137" i="1"/>
  <c r="N137" i="1" s="1"/>
  <c r="L136" i="1"/>
  <c r="Q136" i="1" s="1"/>
  <c r="K136" i="1"/>
  <c r="P136" i="1" s="1"/>
  <c r="J136" i="1"/>
  <c r="O136" i="1" s="1"/>
  <c r="I136" i="1"/>
  <c r="N136" i="1" s="1"/>
  <c r="L135" i="1"/>
  <c r="Q135" i="1" s="1"/>
  <c r="K135" i="1"/>
  <c r="P135" i="1" s="1"/>
  <c r="J135" i="1"/>
  <c r="O135" i="1" s="1"/>
  <c r="I135" i="1"/>
  <c r="N135" i="1" s="1"/>
  <c r="L134" i="1"/>
  <c r="Q134" i="1" s="1"/>
  <c r="K134" i="1"/>
  <c r="P134" i="1" s="1"/>
  <c r="J134" i="1"/>
  <c r="O134" i="1" s="1"/>
  <c r="I134" i="1"/>
  <c r="N134" i="1" s="1"/>
  <c r="L133" i="1"/>
  <c r="Q133" i="1" s="1"/>
  <c r="K133" i="1"/>
  <c r="P133" i="1" s="1"/>
  <c r="J133" i="1"/>
  <c r="O133" i="1" s="1"/>
  <c r="I133" i="1"/>
  <c r="N133" i="1" s="1"/>
  <c r="L132" i="1"/>
  <c r="Q132" i="1" s="1"/>
  <c r="K132" i="1"/>
  <c r="P132" i="1" s="1"/>
  <c r="J132" i="1"/>
  <c r="O132" i="1" s="1"/>
  <c r="I132" i="1"/>
  <c r="N132" i="1" s="1"/>
  <c r="L131" i="1"/>
  <c r="Q131" i="1" s="1"/>
  <c r="K131" i="1"/>
  <c r="P131" i="1" s="1"/>
  <c r="J131" i="1"/>
  <c r="O131" i="1" s="1"/>
  <c r="I131" i="1"/>
  <c r="N131" i="1" s="1"/>
  <c r="L130" i="1"/>
  <c r="Q130" i="1" s="1"/>
  <c r="K130" i="1"/>
  <c r="P130" i="1" s="1"/>
  <c r="J130" i="1"/>
  <c r="O130" i="1" s="1"/>
  <c r="I130" i="1"/>
  <c r="N130" i="1" s="1"/>
  <c r="L129" i="1"/>
  <c r="Q129" i="1" s="1"/>
  <c r="K129" i="1"/>
  <c r="P129" i="1" s="1"/>
  <c r="J129" i="1"/>
  <c r="O129" i="1" s="1"/>
  <c r="I129" i="1"/>
  <c r="N129" i="1" s="1"/>
  <c r="L128" i="1"/>
  <c r="Q128" i="1" s="1"/>
  <c r="K128" i="1"/>
  <c r="P128" i="1" s="1"/>
  <c r="J128" i="1"/>
  <c r="O128" i="1" s="1"/>
  <c r="I128" i="1"/>
  <c r="N128" i="1" s="1"/>
  <c r="L127" i="1"/>
  <c r="Q127" i="1" s="1"/>
  <c r="K127" i="1"/>
  <c r="P127" i="1" s="1"/>
  <c r="J127" i="1"/>
  <c r="O127" i="1" s="1"/>
  <c r="I127" i="1"/>
  <c r="N127" i="1" s="1"/>
  <c r="L126" i="1"/>
  <c r="Q126" i="1" s="1"/>
  <c r="K126" i="1"/>
  <c r="P126" i="1" s="1"/>
  <c r="J126" i="1"/>
  <c r="O126" i="1" s="1"/>
  <c r="I126" i="1"/>
  <c r="N126" i="1" s="1"/>
  <c r="L125" i="1"/>
  <c r="Q125" i="1" s="1"/>
  <c r="K125" i="1"/>
  <c r="P125" i="1" s="1"/>
  <c r="J125" i="1"/>
  <c r="O125" i="1" s="1"/>
  <c r="I125" i="1"/>
  <c r="N125" i="1" s="1"/>
  <c r="L124" i="1"/>
  <c r="Q124" i="1" s="1"/>
  <c r="K124" i="1"/>
  <c r="P124" i="1" s="1"/>
  <c r="J124" i="1"/>
  <c r="O124" i="1" s="1"/>
  <c r="I124" i="1"/>
  <c r="N124" i="1" s="1"/>
  <c r="L123" i="1"/>
  <c r="Q123" i="1" s="1"/>
  <c r="K123" i="1"/>
  <c r="P123" i="1" s="1"/>
  <c r="J123" i="1"/>
  <c r="O123" i="1" s="1"/>
  <c r="I123" i="1"/>
  <c r="N123" i="1" s="1"/>
  <c r="L122" i="1"/>
  <c r="Q122" i="1" s="1"/>
  <c r="K122" i="1"/>
  <c r="P122" i="1" s="1"/>
  <c r="J122" i="1"/>
  <c r="O122" i="1" s="1"/>
  <c r="I122" i="1"/>
  <c r="N122" i="1" s="1"/>
  <c r="L121" i="1"/>
  <c r="Q121" i="1" s="1"/>
  <c r="K121" i="1"/>
  <c r="P121" i="1" s="1"/>
  <c r="J121" i="1"/>
  <c r="O121" i="1" s="1"/>
  <c r="I121" i="1"/>
  <c r="N121" i="1" s="1"/>
  <c r="L120" i="1"/>
  <c r="Q120" i="1" s="1"/>
  <c r="K120" i="1"/>
  <c r="P120" i="1" s="1"/>
  <c r="J120" i="1"/>
  <c r="O120" i="1" s="1"/>
  <c r="I120" i="1"/>
  <c r="N120" i="1" s="1"/>
  <c r="L119" i="1"/>
  <c r="Q119" i="1" s="1"/>
  <c r="K119" i="1"/>
  <c r="P119" i="1" s="1"/>
  <c r="J119" i="1"/>
  <c r="O119" i="1" s="1"/>
  <c r="I119" i="1"/>
  <c r="N119" i="1" s="1"/>
  <c r="L118" i="1"/>
  <c r="Q118" i="1" s="1"/>
  <c r="K118" i="1"/>
  <c r="P118" i="1" s="1"/>
  <c r="J118" i="1"/>
  <c r="O118" i="1" s="1"/>
  <c r="I118" i="1"/>
  <c r="N118" i="1" s="1"/>
  <c r="L117" i="1"/>
  <c r="Q117" i="1" s="1"/>
  <c r="K117" i="1"/>
  <c r="P117" i="1" s="1"/>
  <c r="J117" i="1"/>
  <c r="O117" i="1" s="1"/>
  <c r="I117" i="1"/>
  <c r="N117" i="1" s="1"/>
  <c r="L116" i="1"/>
  <c r="Q116" i="1" s="1"/>
  <c r="K116" i="1"/>
  <c r="P116" i="1" s="1"/>
  <c r="J116" i="1"/>
  <c r="O116" i="1" s="1"/>
  <c r="I116" i="1"/>
  <c r="N116" i="1" s="1"/>
  <c r="L115" i="1"/>
  <c r="Q115" i="1" s="1"/>
  <c r="K115" i="1"/>
  <c r="P115" i="1" s="1"/>
  <c r="J115" i="1"/>
  <c r="O115" i="1" s="1"/>
  <c r="I115" i="1"/>
  <c r="N115" i="1" s="1"/>
  <c r="L114" i="1"/>
  <c r="Q114" i="1" s="1"/>
  <c r="K114" i="1"/>
  <c r="P114" i="1" s="1"/>
  <c r="J114" i="1"/>
  <c r="O114" i="1" s="1"/>
  <c r="I114" i="1"/>
  <c r="N114" i="1" s="1"/>
  <c r="L113" i="1"/>
  <c r="Q113" i="1" s="1"/>
  <c r="K113" i="1"/>
  <c r="P113" i="1" s="1"/>
  <c r="J113" i="1"/>
  <c r="O113" i="1" s="1"/>
  <c r="I113" i="1"/>
  <c r="N113" i="1" s="1"/>
  <c r="L112" i="1"/>
  <c r="Q112" i="1" s="1"/>
  <c r="K112" i="1"/>
  <c r="P112" i="1" s="1"/>
  <c r="J112" i="1"/>
  <c r="O112" i="1" s="1"/>
  <c r="I112" i="1"/>
  <c r="N112" i="1" s="1"/>
  <c r="L111" i="1"/>
  <c r="Q111" i="1" s="1"/>
  <c r="K111" i="1"/>
  <c r="P111" i="1" s="1"/>
  <c r="J111" i="1"/>
  <c r="O111" i="1" s="1"/>
  <c r="I111" i="1"/>
  <c r="N111" i="1" s="1"/>
  <c r="L110" i="1"/>
  <c r="Q110" i="1" s="1"/>
  <c r="K110" i="1"/>
  <c r="P110" i="1" s="1"/>
  <c r="J110" i="1"/>
  <c r="O110" i="1" s="1"/>
  <c r="I110" i="1"/>
  <c r="N110" i="1" s="1"/>
  <c r="L109" i="1"/>
  <c r="Q109" i="1" s="1"/>
  <c r="K109" i="1"/>
  <c r="P109" i="1" s="1"/>
  <c r="J109" i="1"/>
  <c r="O109" i="1" s="1"/>
  <c r="I109" i="1"/>
  <c r="N109" i="1" s="1"/>
  <c r="L108" i="1"/>
  <c r="Q108" i="1" s="1"/>
  <c r="K108" i="1"/>
  <c r="P108" i="1" s="1"/>
  <c r="J108" i="1"/>
  <c r="O108" i="1" s="1"/>
  <c r="I108" i="1"/>
  <c r="N108" i="1" s="1"/>
  <c r="L107" i="1"/>
  <c r="Q107" i="1" s="1"/>
  <c r="K107" i="1"/>
  <c r="P107" i="1" s="1"/>
  <c r="J107" i="1"/>
  <c r="O107" i="1" s="1"/>
  <c r="I107" i="1"/>
  <c r="N107" i="1" s="1"/>
  <c r="L106" i="1"/>
  <c r="Q106" i="1" s="1"/>
  <c r="K106" i="1"/>
  <c r="P106" i="1" s="1"/>
  <c r="J106" i="1"/>
  <c r="O106" i="1" s="1"/>
  <c r="I106" i="1"/>
  <c r="N106" i="1" s="1"/>
  <c r="L105" i="1"/>
  <c r="Q105" i="1" s="1"/>
  <c r="K105" i="1"/>
  <c r="P105" i="1" s="1"/>
  <c r="J105" i="1"/>
  <c r="O105" i="1" s="1"/>
  <c r="I105" i="1"/>
  <c r="N105" i="1" s="1"/>
  <c r="L104" i="1"/>
  <c r="Q104" i="1" s="1"/>
  <c r="K104" i="1"/>
  <c r="P104" i="1" s="1"/>
  <c r="J104" i="1"/>
  <c r="O104" i="1" s="1"/>
  <c r="I104" i="1"/>
  <c r="N104" i="1" s="1"/>
  <c r="L103" i="1"/>
  <c r="Q103" i="1" s="1"/>
  <c r="K103" i="1"/>
  <c r="P103" i="1" s="1"/>
  <c r="J103" i="1"/>
  <c r="O103" i="1" s="1"/>
  <c r="I103" i="1"/>
  <c r="N103" i="1" s="1"/>
  <c r="L102" i="1"/>
  <c r="Q102" i="1" s="1"/>
  <c r="K102" i="1"/>
  <c r="P102" i="1" s="1"/>
  <c r="J102" i="1"/>
  <c r="O102" i="1" s="1"/>
  <c r="I102" i="1"/>
  <c r="N102" i="1" s="1"/>
  <c r="L101" i="1"/>
  <c r="Q101" i="1" s="1"/>
  <c r="K101" i="1"/>
  <c r="P101" i="1" s="1"/>
  <c r="J101" i="1"/>
  <c r="O101" i="1" s="1"/>
  <c r="I101" i="1"/>
  <c r="N101" i="1" s="1"/>
  <c r="L100" i="1"/>
  <c r="Q100" i="1" s="1"/>
  <c r="K100" i="1"/>
  <c r="P100" i="1" s="1"/>
  <c r="J100" i="1"/>
  <c r="O100" i="1" s="1"/>
  <c r="I100" i="1"/>
  <c r="N100" i="1" s="1"/>
  <c r="L99" i="1"/>
  <c r="Q99" i="1" s="1"/>
  <c r="K99" i="1"/>
  <c r="P99" i="1" s="1"/>
  <c r="J99" i="1"/>
  <c r="O99" i="1" s="1"/>
  <c r="I99" i="1"/>
  <c r="N99" i="1" s="1"/>
  <c r="L98" i="1"/>
  <c r="Q98" i="1" s="1"/>
  <c r="K98" i="1"/>
  <c r="P98" i="1" s="1"/>
  <c r="J98" i="1"/>
  <c r="O98" i="1" s="1"/>
  <c r="I98" i="1"/>
  <c r="N98" i="1" s="1"/>
  <c r="L97" i="1"/>
  <c r="Q97" i="1" s="1"/>
  <c r="K97" i="1"/>
  <c r="P97" i="1" s="1"/>
  <c r="J97" i="1"/>
  <c r="O97" i="1" s="1"/>
  <c r="I97" i="1"/>
  <c r="N97" i="1" s="1"/>
  <c r="L96" i="1"/>
  <c r="Q96" i="1" s="1"/>
  <c r="K96" i="1"/>
  <c r="P96" i="1" s="1"/>
  <c r="J96" i="1"/>
  <c r="O96" i="1" s="1"/>
  <c r="I96" i="1"/>
  <c r="N96" i="1" s="1"/>
  <c r="L95" i="1"/>
  <c r="Q95" i="1" s="1"/>
  <c r="K95" i="1"/>
  <c r="P95" i="1" s="1"/>
  <c r="J95" i="1"/>
  <c r="O95" i="1" s="1"/>
  <c r="I95" i="1"/>
  <c r="N95" i="1" s="1"/>
  <c r="L94" i="1"/>
  <c r="Q94" i="1" s="1"/>
  <c r="K94" i="1"/>
  <c r="P94" i="1" s="1"/>
  <c r="J94" i="1"/>
  <c r="O94" i="1" s="1"/>
  <c r="I94" i="1"/>
  <c r="N94" i="1" s="1"/>
  <c r="L93" i="1"/>
  <c r="Q93" i="1" s="1"/>
  <c r="K93" i="1"/>
  <c r="P93" i="1" s="1"/>
  <c r="J93" i="1"/>
  <c r="O93" i="1" s="1"/>
  <c r="I93" i="1"/>
  <c r="N93" i="1" s="1"/>
  <c r="L92" i="1"/>
  <c r="Q92" i="1" s="1"/>
  <c r="K92" i="1"/>
  <c r="P92" i="1" s="1"/>
  <c r="J92" i="1"/>
  <c r="O92" i="1" s="1"/>
  <c r="I92" i="1"/>
  <c r="N92" i="1" s="1"/>
  <c r="L91" i="1"/>
  <c r="Q91" i="1" s="1"/>
  <c r="K91" i="1"/>
  <c r="P91" i="1" s="1"/>
  <c r="J91" i="1"/>
  <c r="O91" i="1" s="1"/>
  <c r="I91" i="1"/>
  <c r="N91" i="1" s="1"/>
  <c r="L90" i="1"/>
  <c r="Q90" i="1" s="1"/>
  <c r="K90" i="1"/>
  <c r="P90" i="1" s="1"/>
  <c r="J90" i="1"/>
  <c r="O90" i="1" s="1"/>
  <c r="I90" i="1"/>
  <c r="N90" i="1" s="1"/>
  <c r="L89" i="1"/>
  <c r="Q89" i="1" s="1"/>
  <c r="K89" i="1"/>
  <c r="P89" i="1" s="1"/>
  <c r="J89" i="1"/>
  <c r="O89" i="1" s="1"/>
  <c r="I89" i="1"/>
  <c r="N89" i="1" s="1"/>
  <c r="L88" i="1"/>
  <c r="Q88" i="1" s="1"/>
  <c r="K88" i="1"/>
  <c r="P88" i="1" s="1"/>
  <c r="J88" i="1"/>
  <c r="O88" i="1" s="1"/>
  <c r="I88" i="1"/>
  <c r="N88" i="1" s="1"/>
  <c r="L87" i="1"/>
  <c r="Q87" i="1" s="1"/>
  <c r="K87" i="1"/>
  <c r="P87" i="1" s="1"/>
  <c r="J87" i="1"/>
  <c r="O87" i="1" s="1"/>
  <c r="I87" i="1"/>
  <c r="N87" i="1" s="1"/>
  <c r="L86" i="1"/>
  <c r="Q86" i="1" s="1"/>
  <c r="K86" i="1"/>
  <c r="P86" i="1" s="1"/>
  <c r="J86" i="1"/>
  <c r="O86" i="1" s="1"/>
  <c r="I86" i="1"/>
  <c r="N86" i="1" s="1"/>
  <c r="L85" i="1"/>
  <c r="Q85" i="1" s="1"/>
  <c r="K85" i="1"/>
  <c r="P85" i="1" s="1"/>
  <c r="J85" i="1"/>
  <c r="O85" i="1" s="1"/>
  <c r="I85" i="1"/>
  <c r="N85" i="1" s="1"/>
  <c r="L84" i="1"/>
  <c r="Q84" i="1" s="1"/>
  <c r="K84" i="1"/>
  <c r="P84" i="1" s="1"/>
  <c r="J84" i="1"/>
  <c r="O84" i="1" s="1"/>
  <c r="I84" i="1"/>
  <c r="N84" i="1" s="1"/>
  <c r="L83" i="1"/>
  <c r="Q83" i="1" s="1"/>
  <c r="K83" i="1"/>
  <c r="P83" i="1" s="1"/>
  <c r="J83" i="1"/>
  <c r="O83" i="1" s="1"/>
  <c r="I83" i="1"/>
  <c r="N83" i="1" s="1"/>
  <c r="L82" i="1"/>
  <c r="Q82" i="1" s="1"/>
  <c r="K82" i="1"/>
  <c r="P82" i="1" s="1"/>
  <c r="J82" i="1"/>
  <c r="O82" i="1" s="1"/>
  <c r="I82" i="1"/>
  <c r="N82" i="1" s="1"/>
  <c r="L81" i="1"/>
  <c r="Q81" i="1" s="1"/>
  <c r="K81" i="1"/>
  <c r="P81" i="1" s="1"/>
  <c r="J81" i="1"/>
  <c r="O81" i="1" s="1"/>
  <c r="I81" i="1"/>
  <c r="N81" i="1" s="1"/>
  <c r="L80" i="1"/>
  <c r="Q80" i="1" s="1"/>
  <c r="K80" i="1"/>
  <c r="P80" i="1" s="1"/>
  <c r="J80" i="1"/>
  <c r="O80" i="1" s="1"/>
  <c r="I80" i="1"/>
  <c r="N80" i="1" s="1"/>
  <c r="L79" i="1"/>
  <c r="Q79" i="1" s="1"/>
  <c r="K79" i="1"/>
  <c r="P79" i="1" s="1"/>
  <c r="J79" i="1"/>
  <c r="O79" i="1" s="1"/>
  <c r="I79" i="1"/>
  <c r="N79" i="1" s="1"/>
  <c r="L78" i="1"/>
  <c r="Q78" i="1" s="1"/>
  <c r="K78" i="1"/>
  <c r="P78" i="1" s="1"/>
  <c r="J78" i="1"/>
  <c r="O78" i="1" s="1"/>
  <c r="I78" i="1"/>
  <c r="N78" i="1" s="1"/>
  <c r="L77" i="1"/>
  <c r="Q77" i="1" s="1"/>
  <c r="K77" i="1"/>
  <c r="P77" i="1" s="1"/>
  <c r="J77" i="1"/>
  <c r="O77" i="1" s="1"/>
  <c r="I77" i="1"/>
  <c r="N77" i="1" s="1"/>
  <c r="L76" i="1"/>
  <c r="Q76" i="1" s="1"/>
  <c r="K76" i="1"/>
  <c r="P76" i="1" s="1"/>
  <c r="J76" i="1"/>
  <c r="O76" i="1" s="1"/>
  <c r="I76" i="1"/>
  <c r="N76" i="1" s="1"/>
  <c r="L75" i="1"/>
  <c r="Q75" i="1" s="1"/>
  <c r="K75" i="1"/>
  <c r="P75" i="1" s="1"/>
  <c r="J75" i="1"/>
  <c r="O75" i="1" s="1"/>
  <c r="I75" i="1"/>
  <c r="N75" i="1" s="1"/>
  <c r="L74" i="1"/>
  <c r="Q74" i="1" s="1"/>
  <c r="K74" i="1"/>
  <c r="P74" i="1" s="1"/>
  <c r="J74" i="1"/>
  <c r="O74" i="1" s="1"/>
  <c r="I74" i="1"/>
  <c r="N74" i="1" s="1"/>
  <c r="L73" i="1"/>
  <c r="Q73" i="1" s="1"/>
  <c r="K73" i="1"/>
  <c r="P73" i="1" s="1"/>
  <c r="J73" i="1"/>
  <c r="O73" i="1" s="1"/>
  <c r="I73" i="1"/>
  <c r="N73" i="1" s="1"/>
  <c r="L72" i="1"/>
  <c r="Q72" i="1" s="1"/>
  <c r="K72" i="1"/>
  <c r="P72" i="1" s="1"/>
  <c r="J72" i="1"/>
  <c r="O72" i="1" s="1"/>
  <c r="I72" i="1"/>
  <c r="N72" i="1" s="1"/>
  <c r="L71" i="1"/>
  <c r="Q71" i="1" s="1"/>
  <c r="K71" i="1"/>
  <c r="P71" i="1" s="1"/>
  <c r="J71" i="1"/>
  <c r="O71" i="1" s="1"/>
  <c r="I71" i="1"/>
  <c r="N71" i="1" s="1"/>
  <c r="L70" i="1"/>
  <c r="Q70" i="1" s="1"/>
  <c r="K70" i="1"/>
  <c r="P70" i="1" s="1"/>
  <c r="J70" i="1"/>
  <c r="O70" i="1" s="1"/>
  <c r="I70" i="1"/>
  <c r="N70" i="1" s="1"/>
  <c r="L69" i="1"/>
  <c r="Q69" i="1" s="1"/>
  <c r="K69" i="1"/>
  <c r="P69" i="1" s="1"/>
  <c r="J69" i="1"/>
  <c r="O69" i="1" s="1"/>
  <c r="I69" i="1"/>
  <c r="N69" i="1" s="1"/>
  <c r="L68" i="1"/>
  <c r="Q68" i="1" s="1"/>
  <c r="K68" i="1"/>
  <c r="P68" i="1" s="1"/>
  <c r="J68" i="1"/>
  <c r="O68" i="1" s="1"/>
  <c r="I68" i="1"/>
  <c r="N68" i="1" s="1"/>
  <c r="L67" i="1"/>
  <c r="Q67" i="1" s="1"/>
  <c r="K67" i="1"/>
  <c r="P67" i="1" s="1"/>
  <c r="J67" i="1"/>
  <c r="O67" i="1" s="1"/>
  <c r="I67" i="1"/>
  <c r="N67" i="1" s="1"/>
  <c r="L66" i="1"/>
  <c r="Q66" i="1" s="1"/>
  <c r="K66" i="1"/>
  <c r="P66" i="1" s="1"/>
  <c r="J66" i="1"/>
  <c r="O66" i="1" s="1"/>
  <c r="I66" i="1"/>
  <c r="N66" i="1" s="1"/>
  <c r="L65" i="1"/>
  <c r="Q65" i="1" s="1"/>
  <c r="K65" i="1"/>
  <c r="P65" i="1" s="1"/>
  <c r="J65" i="1"/>
  <c r="O65" i="1" s="1"/>
  <c r="I65" i="1"/>
  <c r="N65" i="1" s="1"/>
  <c r="L64" i="1"/>
  <c r="Q64" i="1" s="1"/>
  <c r="K64" i="1"/>
  <c r="P64" i="1" s="1"/>
  <c r="J64" i="1"/>
  <c r="O64" i="1" s="1"/>
  <c r="I64" i="1"/>
  <c r="N64" i="1" s="1"/>
  <c r="L63" i="1"/>
  <c r="Q63" i="1" s="1"/>
  <c r="K63" i="1"/>
  <c r="P63" i="1" s="1"/>
  <c r="J63" i="1"/>
  <c r="O63" i="1" s="1"/>
  <c r="I63" i="1"/>
  <c r="N63" i="1" s="1"/>
  <c r="L62" i="1"/>
  <c r="Q62" i="1" s="1"/>
  <c r="K62" i="1"/>
  <c r="P62" i="1" s="1"/>
  <c r="J62" i="1"/>
  <c r="O62" i="1" s="1"/>
  <c r="I62" i="1"/>
  <c r="N62" i="1" s="1"/>
  <c r="L61" i="1"/>
  <c r="Q61" i="1" s="1"/>
  <c r="K61" i="1"/>
  <c r="P61" i="1" s="1"/>
  <c r="J61" i="1"/>
  <c r="O61" i="1" s="1"/>
  <c r="I61" i="1"/>
  <c r="N61" i="1" s="1"/>
  <c r="L60" i="1"/>
  <c r="Q60" i="1" s="1"/>
  <c r="K60" i="1"/>
  <c r="P60" i="1" s="1"/>
  <c r="J60" i="1"/>
  <c r="O60" i="1" s="1"/>
  <c r="I60" i="1"/>
  <c r="N60" i="1" s="1"/>
  <c r="L59" i="1"/>
  <c r="Q59" i="1" s="1"/>
  <c r="K59" i="1"/>
  <c r="P59" i="1" s="1"/>
  <c r="J59" i="1"/>
  <c r="O59" i="1" s="1"/>
  <c r="I59" i="1"/>
  <c r="N59" i="1" s="1"/>
  <c r="L58" i="1"/>
  <c r="Q58" i="1" s="1"/>
  <c r="P58" i="1"/>
  <c r="J58" i="1"/>
  <c r="O58" i="1" s="1"/>
  <c r="I58" i="1"/>
  <c r="N58" i="1" s="1"/>
  <c r="L57" i="1"/>
  <c r="Q57" i="1" s="1"/>
  <c r="K57" i="1"/>
  <c r="P57" i="1" s="1"/>
  <c r="J57" i="1"/>
  <c r="O57" i="1" s="1"/>
  <c r="I57" i="1"/>
  <c r="N57" i="1" s="1"/>
  <c r="L56" i="1"/>
  <c r="Q56" i="1" s="1"/>
  <c r="K56" i="1"/>
  <c r="P56" i="1" s="1"/>
  <c r="J56" i="1"/>
  <c r="O56" i="1" s="1"/>
  <c r="I56" i="1"/>
  <c r="N56" i="1" s="1"/>
  <c r="L55" i="1"/>
  <c r="Q55" i="1" s="1"/>
  <c r="K55" i="1"/>
  <c r="P55" i="1" s="1"/>
  <c r="J55" i="1"/>
  <c r="O55" i="1" s="1"/>
  <c r="I55" i="1"/>
  <c r="N55" i="1" s="1"/>
  <c r="L54" i="1"/>
  <c r="Q54" i="1" s="1"/>
  <c r="K54" i="1"/>
  <c r="P54" i="1" s="1"/>
  <c r="J54" i="1"/>
  <c r="O54" i="1" s="1"/>
  <c r="I54" i="1"/>
  <c r="N54" i="1" s="1"/>
  <c r="L53" i="1"/>
  <c r="Q53" i="1" s="1"/>
  <c r="K53" i="1"/>
  <c r="P53" i="1" s="1"/>
  <c r="J53" i="1"/>
  <c r="O53" i="1" s="1"/>
  <c r="I53" i="1"/>
  <c r="N53" i="1" s="1"/>
  <c r="L52" i="1"/>
  <c r="Q52" i="1" s="1"/>
  <c r="K52" i="1"/>
  <c r="P52" i="1" s="1"/>
  <c r="J52" i="1"/>
  <c r="O52" i="1" s="1"/>
  <c r="I52" i="1"/>
  <c r="N52" i="1" s="1"/>
  <c r="L51" i="1"/>
  <c r="Q51" i="1" s="1"/>
  <c r="K51" i="1"/>
  <c r="P51" i="1" s="1"/>
  <c r="J51" i="1"/>
  <c r="O51" i="1" s="1"/>
  <c r="I51" i="1"/>
  <c r="N51" i="1" s="1"/>
  <c r="L50" i="1"/>
  <c r="Q50" i="1" s="1"/>
  <c r="K50" i="1"/>
  <c r="P50" i="1" s="1"/>
  <c r="J50" i="1"/>
  <c r="O50" i="1" s="1"/>
  <c r="I50" i="1"/>
  <c r="N50" i="1" s="1"/>
  <c r="L49" i="1"/>
  <c r="Q49" i="1" s="1"/>
  <c r="K49" i="1"/>
  <c r="P49" i="1" s="1"/>
  <c r="J49" i="1"/>
  <c r="O49" i="1" s="1"/>
  <c r="I49" i="1"/>
  <c r="N49" i="1" s="1"/>
  <c r="L48" i="1"/>
  <c r="Q48" i="1" s="1"/>
  <c r="K48" i="1"/>
  <c r="P48" i="1" s="1"/>
  <c r="J48" i="1"/>
  <c r="O48" i="1" s="1"/>
  <c r="I48" i="1"/>
  <c r="N48" i="1" s="1"/>
  <c r="L47" i="1"/>
  <c r="Q47" i="1" s="1"/>
  <c r="K47" i="1"/>
  <c r="P47" i="1" s="1"/>
  <c r="J47" i="1"/>
  <c r="O47" i="1" s="1"/>
  <c r="I47" i="1"/>
  <c r="N47" i="1" s="1"/>
  <c r="L46" i="1"/>
  <c r="Q46" i="1" s="1"/>
  <c r="K46" i="1"/>
  <c r="P46" i="1" s="1"/>
  <c r="J46" i="1"/>
  <c r="O46" i="1" s="1"/>
  <c r="I46" i="1"/>
  <c r="N46" i="1" s="1"/>
  <c r="L45" i="1"/>
  <c r="Q45" i="1" s="1"/>
  <c r="K45" i="1"/>
  <c r="P45" i="1" s="1"/>
  <c r="J45" i="1"/>
  <c r="O45" i="1" s="1"/>
  <c r="I45" i="1"/>
  <c r="N45" i="1" s="1"/>
  <c r="L44" i="1"/>
  <c r="Q44" i="1" s="1"/>
  <c r="K44" i="1"/>
  <c r="P44" i="1" s="1"/>
  <c r="J44" i="1"/>
  <c r="O44" i="1" s="1"/>
  <c r="I44" i="1"/>
  <c r="N44" i="1" s="1"/>
  <c r="L43" i="1"/>
  <c r="Q43" i="1" s="1"/>
  <c r="K43" i="1"/>
  <c r="P43" i="1" s="1"/>
  <c r="J43" i="1"/>
  <c r="O43" i="1" s="1"/>
  <c r="I43" i="1"/>
  <c r="N43" i="1" s="1"/>
  <c r="L42" i="1"/>
  <c r="Q42" i="1" s="1"/>
  <c r="K42" i="1"/>
  <c r="P42" i="1" s="1"/>
  <c r="J42" i="1"/>
  <c r="O42" i="1" s="1"/>
  <c r="I42" i="1"/>
  <c r="N42" i="1" s="1"/>
  <c r="L41" i="1"/>
  <c r="Q41" i="1" s="1"/>
  <c r="K41" i="1"/>
  <c r="P41" i="1" s="1"/>
  <c r="J41" i="1"/>
  <c r="O41" i="1" s="1"/>
  <c r="I41" i="1"/>
  <c r="N41" i="1" s="1"/>
  <c r="L40" i="1"/>
  <c r="Q40" i="1" s="1"/>
  <c r="K40" i="1"/>
  <c r="P40" i="1" s="1"/>
  <c r="J40" i="1"/>
  <c r="O40" i="1" s="1"/>
  <c r="I40" i="1"/>
  <c r="N40" i="1" s="1"/>
  <c r="L39" i="1"/>
  <c r="Q39" i="1" s="1"/>
  <c r="K39" i="1"/>
  <c r="P39" i="1" s="1"/>
  <c r="J39" i="1"/>
  <c r="O39" i="1" s="1"/>
  <c r="I39" i="1"/>
  <c r="N39" i="1" s="1"/>
  <c r="L38" i="1"/>
  <c r="Q38" i="1" s="1"/>
  <c r="K38" i="1"/>
  <c r="P38" i="1" s="1"/>
  <c r="J38" i="1"/>
  <c r="O38" i="1" s="1"/>
  <c r="I38" i="1"/>
  <c r="N38" i="1" s="1"/>
  <c r="L37" i="1"/>
  <c r="Q37" i="1" s="1"/>
  <c r="K37" i="1"/>
  <c r="P37" i="1" s="1"/>
  <c r="J37" i="1"/>
  <c r="O37" i="1" s="1"/>
  <c r="I37" i="1"/>
  <c r="N37" i="1" s="1"/>
  <c r="L36" i="1"/>
  <c r="Q36" i="1" s="1"/>
  <c r="K36" i="1"/>
  <c r="P36" i="1" s="1"/>
  <c r="J36" i="1"/>
  <c r="O36" i="1" s="1"/>
  <c r="I36" i="1"/>
  <c r="N36" i="1" s="1"/>
  <c r="L35" i="1"/>
  <c r="Q35" i="1" s="1"/>
  <c r="K35" i="1"/>
  <c r="P35" i="1" s="1"/>
  <c r="J35" i="1"/>
  <c r="O35" i="1" s="1"/>
  <c r="I35" i="1"/>
  <c r="N35" i="1" s="1"/>
  <c r="L34" i="1"/>
  <c r="Q34" i="1" s="1"/>
  <c r="K34" i="1"/>
  <c r="P34" i="1" s="1"/>
  <c r="J34" i="1"/>
  <c r="O34" i="1" s="1"/>
  <c r="I34" i="1"/>
  <c r="N34" i="1" s="1"/>
  <c r="L33" i="1"/>
  <c r="Q33" i="1" s="1"/>
  <c r="K33" i="1"/>
  <c r="P33" i="1" s="1"/>
  <c r="J33" i="1"/>
  <c r="O33" i="1" s="1"/>
  <c r="I33" i="1"/>
  <c r="N33" i="1" s="1"/>
  <c r="L32" i="1"/>
  <c r="Q32" i="1" s="1"/>
  <c r="K32" i="1"/>
  <c r="P32" i="1" s="1"/>
  <c r="J32" i="1"/>
  <c r="O32" i="1" s="1"/>
  <c r="I32" i="1"/>
  <c r="N32" i="1" s="1"/>
  <c r="L31" i="1"/>
  <c r="Q31" i="1" s="1"/>
  <c r="K31" i="1"/>
  <c r="P31" i="1" s="1"/>
  <c r="J31" i="1"/>
  <c r="O31" i="1" s="1"/>
  <c r="I31" i="1"/>
  <c r="N31" i="1" s="1"/>
  <c r="L30" i="1"/>
  <c r="Q30" i="1" s="1"/>
  <c r="K30" i="1"/>
  <c r="P30" i="1" s="1"/>
  <c r="J30" i="1"/>
  <c r="O30" i="1" s="1"/>
  <c r="I30" i="1"/>
  <c r="N30" i="1" s="1"/>
  <c r="L29" i="1"/>
  <c r="Q29" i="1" s="1"/>
  <c r="K29" i="1"/>
  <c r="P29" i="1" s="1"/>
  <c r="J29" i="1"/>
  <c r="O29" i="1" s="1"/>
  <c r="I29" i="1"/>
  <c r="N29" i="1" s="1"/>
  <c r="L28" i="1"/>
  <c r="Q28" i="1" s="1"/>
  <c r="K28" i="1"/>
  <c r="P28" i="1" s="1"/>
  <c r="J28" i="1"/>
  <c r="O28" i="1" s="1"/>
  <c r="I28" i="1"/>
  <c r="N28" i="1" s="1"/>
  <c r="L27" i="1"/>
  <c r="Q27" i="1" s="1"/>
  <c r="K27" i="1"/>
  <c r="P27" i="1" s="1"/>
  <c r="J27" i="1"/>
  <c r="O27" i="1" s="1"/>
  <c r="I27" i="1"/>
  <c r="N27" i="1" s="1"/>
  <c r="L26" i="1"/>
  <c r="Q26" i="1" s="1"/>
  <c r="K26" i="1"/>
  <c r="P26" i="1" s="1"/>
  <c r="J26" i="1"/>
  <c r="O26" i="1" s="1"/>
  <c r="I26" i="1"/>
  <c r="N26" i="1" s="1"/>
  <c r="L25" i="1"/>
  <c r="Q25" i="1" s="1"/>
  <c r="K25" i="1"/>
  <c r="P25" i="1" s="1"/>
  <c r="J25" i="1"/>
  <c r="O25" i="1" s="1"/>
  <c r="I25" i="1"/>
  <c r="N25" i="1" s="1"/>
  <c r="L24" i="1"/>
  <c r="Q24" i="1" s="1"/>
  <c r="K24" i="1"/>
  <c r="P24" i="1" s="1"/>
  <c r="J24" i="1"/>
  <c r="O24" i="1" s="1"/>
  <c r="I24" i="1"/>
  <c r="N24" i="1" s="1"/>
  <c r="L23" i="1"/>
  <c r="Q23" i="1" s="1"/>
  <c r="K23" i="1"/>
  <c r="P23" i="1" s="1"/>
  <c r="J23" i="1"/>
  <c r="O23" i="1" s="1"/>
  <c r="I23" i="1"/>
  <c r="N23" i="1" s="1"/>
  <c r="L22" i="1"/>
  <c r="Q22" i="1" s="1"/>
  <c r="K22" i="1"/>
  <c r="P22" i="1" s="1"/>
  <c r="J22" i="1"/>
  <c r="O22" i="1" s="1"/>
  <c r="I22" i="1"/>
  <c r="N22" i="1" s="1"/>
  <c r="L21" i="1"/>
  <c r="Q21" i="1" s="1"/>
  <c r="K21" i="1"/>
  <c r="P21" i="1" s="1"/>
  <c r="J21" i="1"/>
  <c r="O21" i="1" s="1"/>
  <c r="I21" i="1"/>
  <c r="N21" i="1" s="1"/>
  <c r="L20" i="1"/>
  <c r="Q20" i="1" s="1"/>
  <c r="K20" i="1"/>
  <c r="P20" i="1" s="1"/>
  <c r="J20" i="1"/>
  <c r="O20" i="1" s="1"/>
  <c r="I20" i="1"/>
  <c r="N20" i="1" s="1"/>
  <c r="L19" i="1"/>
  <c r="Q19" i="1" s="1"/>
  <c r="K19" i="1"/>
  <c r="P19" i="1" s="1"/>
  <c r="J19" i="1"/>
  <c r="O19" i="1" s="1"/>
  <c r="I19" i="1"/>
  <c r="N19" i="1" s="1"/>
  <c r="L18" i="1"/>
  <c r="Q18" i="1" s="1"/>
  <c r="K18" i="1"/>
  <c r="P18" i="1" s="1"/>
  <c r="J18" i="1"/>
  <c r="O18" i="1" s="1"/>
  <c r="I18" i="1"/>
  <c r="N18" i="1" s="1"/>
  <c r="L17" i="1"/>
  <c r="Q17" i="1" s="1"/>
  <c r="K17" i="1"/>
  <c r="P17" i="1" s="1"/>
  <c r="J17" i="1"/>
  <c r="O17" i="1" s="1"/>
  <c r="I17" i="1"/>
  <c r="N17" i="1" s="1"/>
  <c r="L16" i="1"/>
  <c r="Q16" i="1" s="1"/>
  <c r="K16" i="1"/>
  <c r="P16" i="1" s="1"/>
  <c r="J16" i="1"/>
  <c r="O16" i="1" s="1"/>
  <c r="I16" i="1"/>
  <c r="N16" i="1" s="1"/>
  <c r="L15" i="1"/>
  <c r="Q15" i="1" s="1"/>
  <c r="K15" i="1"/>
  <c r="P15" i="1" s="1"/>
  <c r="J15" i="1"/>
  <c r="O15" i="1" s="1"/>
  <c r="I15" i="1"/>
  <c r="N15" i="1" s="1"/>
  <c r="L14" i="1"/>
  <c r="Q14" i="1" s="1"/>
  <c r="K14" i="1"/>
  <c r="P14" i="1" s="1"/>
  <c r="J14" i="1"/>
  <c r="O14" i="1" s="1"/>
  <c r="I14" i="1"/>
  <c r="N14" i="1" s="1"/>
  <c r="L13" i="1"/>
  <c r="Q13" i="1" s="1"/>
  <c r="K13" i="1"/>
  <c r="P13" i="1" s="1"/>
  <c r="J13" i="1"/>
  <c r="O13" i="1" s="1"/>
  <c r="I13" i="1"/>
  <c r="N13" i="1" s="1"/>
  <c r="L12" i="1"/>
  <c r="Q12" i="1" s="1"/>
  <c r="K12" i="1"/>
  <c r="P12" i="1" s="1"/>
  <c r="J12" i="1"/>
  <c r="O12" i="1" s="1"/>
  <c r="I12" i="1"/>
  <c r="N12" i="1" s="1"/>
  <c r="L11" i="1"/>
  <c r="Q11" i="1" s="1"/>
  <c r="K11" i="1"/>
  <c r="P11" i="1" s="1"/>
  <c r="J11" i="1"/>
  <c r="O11" i="1" s="1"/>
  <c r="I11" i="1"/>
  <c r="N11" i="1" s="1"/>
  <c r="L10" i="1"/>
  <c r="Q10" i="1" s="1"/>
  <c r="K10" i="1"/>
  <c r="P10" i="1" s="1"/>
  <c r="J10" i="1"/>
  <c r="O10" i="1" s="1"/>
  <c r="I10" i="1"/>
  <c r="N10" i="1" s="1"/>
  <c r="L9" i="1"/>
  <c r="Q9" i="1" s="1"/>
  <c r="K9" i="1"/>
  <c r="P9" i="1" s="1"/>
  <c r="J9" i="1"/>
  <c r="O9" i="1" s="1"/>
  <c r="I9" i="1"/>
  <c r="N9" i="1" s="1"/>
  <c r="M6" i="2" l="1"/>
  <c r="R6" i="2" s="1"/>
  <c r="M7" i="2"/>
  <c r="R7" i="2" s="1"/>
  <c r="M8" i="2"/>
  <c r="R8" i="2" s="1"/>
  <c r="M9" i="2"/>
  <c r="R9" i="2" s="1"/>
  <c r="M10" i="2"/>
  <c r="R10" i="2" s="1"/>
  <c r="M11" i="2"/>
  <c r="R11" i="2" s="1"/>
  <c r="M12" i="2"/>
  <c r="R12" i="2" s="1"/>
  <c r="M13" i="2"/>
  <c r="R13" i="2" s="1"/>
  <c r="M14" i="2"/>
  <c r="R14" i="2" s="1"/>
  <c r="M15" i="2"/>
  <c r="R15" i="2" s="1"/>
  <c r="M16" i="2"/>
  <c r="R16" i="2" s="1"/>
  <c r="M17" i="2"/>
  <c r="R17" i="2" s="1"/>
  <c r="M18" i="2"/>
  <c r="R18" i="2" s="1"/>
  <c r="M19" i="2"/>
  <c r="R19" i="2" s="1"/>
  <c r="M20" i="2"/>
  <c r="R20" i="2" s="1"/>
  <c r="M21" i="2"/>
  <c r="R21" i="2" s="1"/>
  <c r="M22" i="2"/>
  <c r="R22" i="2" s="1"/>
  <c r="M23" i="2"/>
  <c r="R23" i="2" s="1"/>
  <c r="M24" i="2"/>
  <c r="R24" i="2" s="1"/>
  <c r="M25" i="2"/>
  <c r="R25" i="2" s="1"/>
  <c r="M26" i="2"/>
  <c r="R26" i="2" s="1"/>
  <c r="M27" i="2"/>
  <c r="R27" i="2" s="1"/>
  <c r="M28" i="2"/>
  <c r="R28" i="2" s="1"/>
  <c r="M29" i="2"/>
  <c r="R29" i="2" s="1"/>
  <c r="M30" i="2"/>
  <c r="R30" i="2" s="1"/>
  <c r="M31" i="2"/>
  <c r="R31" i="2" s="1"/>
  <c r="M32" i="2"/>
  <c r="R32" i="2" s="1"/>
  <c r="M33" i="2"/>
  <c r="R33" i="2" s="1"/>
  <c r="M34" i="2"/>
  <c r="R34" i="2" s="1"/>
  <c r="M35" i="2"/>
  <c r="R35" i="2" s="1"/>
  <c r="R36" i="2"/>
  <c r="M37" i="2"/>
  <c r="R37" i="2" s="1"/>
  <c r="M38" i="2"/>
  <c r="R38" i="2" s="1"/>
  <c r="M39" i="2"/>
  <c r="R39" i="2" s="1"/>
  <c r="M40" i="2"/>
  <c r="R40" i="2" s="1"/>
  <c r="M41" i="2"/>
  <c r="R41" i="2" s="1"/>
  <c r="M42" i="2"/>
  <c r="R42" i="2" s="1"/>
  <c r="M43" i="2"/>
  <c r="R43" i="2" s="1"/>
  <c r="M44" i="2"/>
  <c r="R44" i="2" s="1"/>
  <c r="M45" i="2"/>
  <c r="R45" i="2" s="1"/>
  <c r="M46" i="2"/>
  <c r="R46" i="2" s="1"/>
  <c r="M47" i="2"/>
  <c r="R47" i="2" s="1"/>
  <c r="M48" i="2"/>
  <c r="R48" i="2" s="1"/>
  <c r="M49" i="2"/>
  <c r="R49" i="2" s="1"/>
  <c r="L6" i="2"/>
  <c r="Q6" i="2" s="1"/>
  <c r="L7" i="2"/>
  <c r="Q7" i="2" s="1"/>
  <c r="L8" i="2"/>
  <c r="Q8" i="2" s="1"/>
  <c r="L9" i="2"/>
  <c r="Q9" i="2" s="1"/>
  <c r="L10" i="2"/>
  <c r="Q10" i="2" s="1"/>
  <c r="L11" i="2"/>
  <c r="Q11" i="2" s="1"/>
  <c r="L12" i="2"/>
  <c r="Q12" i="2" s="1"/>
  <c r="L13" i="2"/>
  <c r="Q13" i="2" s="1"/>
  <c r="L14" i="2"/>
  <c r="Q14" i="2" s="1"/>
  <c r="L15" i="2"/>
  <c r="Q15" i="2" s="1"/>
  <c r="L16" i="2"/>
  <c r="Q16" i="2" s="1"/>
  <c r="L17" i="2"/>
  <c r="Q17" i="2" s="1"/>
  <c r="L18" i="2"/>
  <c r="Q18" i="2" s="1"/>
  <c r="L19" i="2"/>
  <c r="Q19" i="2" s="1"/>
  <c r="L20" i="2"/>
  <c r="Q20" i="2" s="1"/>
  <c r="L21" i="2"/>
  <c r="Q21" i="2" s="1"/>
  <c r="L22" i="2"/>
  <c r="Q22" i="2" s="1"/>
  <c r="L23" i="2"/>
  <c r="Q23" i="2" s="1"/>
  <c r="L24" i="2"/>
  <c r="Q24" i="2" s="1"/>
  <c r="L25" i="2"/>
  <c r="Q25" i="2" s="1"/>
  <c r="L26" i="2"/>
  <c r="Q26" i="2" s="1"/>
  <c r="L27" i="2"/>
  <c r="Q27" i="2" s="1"/>
  <c r="L28" i="2"/>
  <c r="Q28" i="2" s="1"/>
  <c r="L29" i="2"/>
  <c r="Q29" i="2" s="1"/>
  <c r="L30" i="2"/>
  <c r="Q30" i="2" s="1"/>
  <c r="L31" i="2"/>
  <c r="Q31" i="2" s="1"/>
  <c r="L32" i="2"/>
  <c r="Q32" i="2" s="1"/>
  <c r="L33" i="2"/>
  <c r="Q33" i="2" s="1"/>
  <c r="L34" i="2"/>
  <c r="Q34" i="2" s="1"/>
  <c r="L35" i="2"/>
  <c r="Q35" i="2" s="1"/>
  <c r="L36" i="2"/>
  <c r="Q36" i="2" s="1"/>
  <c r="L37" i="2"/>
  <c r="Q37" i="2" s="1"/>
  <c r="L38" i="2"/>
  <c r="Q38" i="2" s="1"/>
  <c r="L39" i="2"/>
  <c r="Q39" i="2" s="1"/>
  <c r="L40" i="2"/>
  <c r="Q40" i="2" s="1"/>
  <c r="L41" i="2"/>
  <c r="Q41" i="2" s="1"/>
  <c r="L42" i="2"/>
  <c r="Q42" i="2" s="1"/>
  <c r="L43" i="2"/>
  <c r="Q43" i="2" s="1"/>
  <c r="L44" i="2"/>
  <c r="Q44" i="2" s="1"/>
  <c r="L45" i="2"/>
  <c r="Q45" i="2" s="1"/>
  <c r="L46" i="2"/>
  <c r="Q46" i="2" s="1"/>
  <c r="L47" i="2"/>
  <c r="Q47" i="2" s="1"/>
  <c r="L48" i="2"/>
  <c r="Q48" i="2" s="1"/>
  <c r="L49" i="2"/>
  <c r="Q49" i="2" s="1"/>
  <c r="K6" i="2"/>
  <c r="P6" i="2" s="1"/>
  <c r="K7" i="2"/>
  <c r="P7" i="2" s="1"/>
  <c r="K8" i="2"/>
  <c r="P8" i="2" s="1"/>
  <c r="K9" i="2"/>
  <c r="P9" i="2" s="1"/>
  <c r="K10" i="2"/>
  <c r="P10" i="2" s="1"/>
  <c r="K11" i="2"/>
  <c r="P11" i="2" s="1"/>
  <c r="K12" i="2"/>
  <c r="P12" i="2" s="1"/>
  <c r="K13" i="2"/>
  <c r="P13" i="2" s="1"/>
  <c r="K14" i="2"/>
  <c r="P14" i="2" s="1"/>
  <c r="K15" i="2"/>
  <c r="P15" i="2" s="1"/>
  <c r="K16" i="2"/>
  <c r="P16" i="2" s="1"/>
  <c r="K17" i="2"/>
  <c r="P17" i="2" s="1"/>
  <c r="K18" i="2"/>
  <c r="P18" i="2" s="1"/>
  <c r="K19" i="2"/>
  <c r="P19" i="2" s="1"/>
  <c r="K20" i="2"/>
  <c r="P20" i="2" s="1"/>
  <c r="K21" i="2"/>
  <c r="P21" i="2" s="1"/>
  <c r="K22" i="2"/>
  <c r="P22" i="2" s="1"/>
  <c r="K23" i="2"/>
  <c r="P23" i="2" s="1"/>
  <c r="K24" i="2"/>
  <c r="P24" i="2" s="1"/>
  <c r="K25" i="2"/>
  <c r="P25" i="2" s="1"/>
  <c r="K26" i="2"/>
  <c r="P26" i="2" s="1"/>
  <c r="K27" i="2"/>
  <c r="P27" i="2" s="1"/>
  <c r="K28" i="2"/>
  <c r="P28" i="2" s="1"/>
  <c r="K29" i="2"/>
  <c r="P29" i="2" s="1"/>
  <c r="K30" i="2"/>
  <c r="P30" i="2" s="1"/>
  <c r="K31" i="2"/>
  <c r="P31" i="2" s="1"/>
  <c r="K32" i="2"/>
  <c r="P32" i="2" s="1"/>
  <c r="K33" i="2"/>
  <c r="P33" i="2" s="1"/>
  <c r="K34" i="2"/>
  <c r="P34" i="2" s="1"/>
  <c r="K35" i="2"/>
  <c r="P35" i="2" s="1"/>
  <c r="K36" i="2"/>
  <c r="P36" i="2" s="1"/>
  <c r="K37" i="2"/>
  <c r="P37" i="2" s="1"/>
  <c r="K38" i="2"/>
  <c r="P38" i="2" s="1"/>
  <c r="K39" i="2"/>
  <c r="P39" i="2" s="1"/>
  <c r="K40" i="2"/>
  <c r="P40" i="2" s="1"/>
  <c r="K41" i="2"/>
  <c r="P41" i="2" s="1"/>
  <c r="K42" i="2"/>
  <c r="P42" i="2" s="1"/>
  <c r="K43" i="2"/>
  <c r="P43" i="2" s="1"/>
  <c r="K44" i="2"/>
  <c r="P44" i="2" s="1"/>
  <c r="K45" i="2"/>
  <c r="P45" i="2" s="1"/>
  <c r="K46" i="2"/>
  <c r="P46" i="2" s="1"/>
  <c r="K47" i="2"/>
  <c r="P47" i="2" s="1"/>
  <c r="K48" i="2"/>
  <c r="P48" i="2" s="1"/>
  <c r="K49" i="2"/>
  <c r="P49" i="2" s="1"/>
  <c r="J6" i="2"/>
  <c r="O6" i="2" s="1"/>
  <c r="J7" i="2"/>
  <c r="O7" i="2" s="1"/>
  <c r="J8" i="2"/>
  <c r="O8" i="2" s="1"/>
  <c r="J9" i="2"/>
  <c r="O9" i="2" s="1"/>
  <c r="J10" i="2"/>
  <c r="O10" i="2" s="1"/>
  <c r="J11" i="2"/>
  <c r="O11" i="2" s="1"/>
  <c r="J12" i="2"/>
  <c r="O12" i="2" s="1"/>
  <c r="J13" i="2"/>
  <c r="O13" i="2" s="1"/>
  <c r="J14" i="2"/>
  <c r="O14" i="2" s="1"/>
  <c r="J15" i="2"/>
  <c r="O15" i="2" s="1"/>
  <c r="J16" i="2"/>
  <c r="O16" i="2" s="1"/>
  <c r="J17" i="2"/>
  <c r="O17" i="2" s="1"/>
  <c r="J18" i="2"/>
  <c r="O18" i="2" s="1"/>
  <c r="J19" i="2"/>
  <c r="O19" i="2" s="1"/>
  <c r="J20" i="2"/>
  <c r="O20" i="2" s="1"/>
  <c r="J21" i="2"/>
  <c r="O21" i="2" s="1"/>
  <c r="J22" i="2"/>
  <c r="O22" i="2" s="1"/>
  <c r="J23" i="2"/>
  <c r="O23" i="2" s="1"/>
  <c r="J24" i="2"/>
  <c r="O24" i="2" s="1"/>
  <c r="J25" i="2"/>
  <c r="O25" i="2" s="1"/>
  <c r="J26" i="2"/>
  <c r="O26" i="2" s="1"/>
  <c r="J27" i="2"/>
  <c r="O27" i="2" s="1"/>
  <c r="J28" i="2"/>
  <c r="O28" i="2" s="1"/>
  <c r="J29" i="2"/>
  <c r="O29" i="2" s="1"/>
  <c r="J30" i="2"/>
  <c r="O30" i="2" s="1"/>
  <c r="J31" i="2"/>
  <c r="O31" i="2" s="1"/>
  <c r="J32" i="2"/>
  <c r="O32" i="2" s="1"/>
  <c r="J33" i="2"/>
  <c r="O33" i="2" s="1"/>
  <c r="J34" i="2"/>
  <c r="O34" i="2" s="1"/>
  <c r="J35" i="2"/>
  <c r="O35" i="2" s="1"/>
  <c r="J36" i="2"/>
  <c r="O36" i="2" s="1"/>
  <c r="J37" i="2"/>
  <c r="O37" i="2" s="1"/>
  <c r="J38" i="2"/>
  <c r="O38" i="2" s="1"/>
  <c r="J39" i="2"/>
  <c r="O39" i="2" s="1"/>
  <c r="J40" i="2"/>
  <c r="O40" i="2" s="1"/>
  <c r="J41" i="2"/>
  <c r="O41" i="2" s="1"/>
  <c r="J42" i="2"/>
  <c r="O42" i="2" s="1"/>
  <c r="J43" i="2"/>
  <c r="O43" i="2" s="1"/>
  <c r="J44" i="2"/>
  <c r="O44" i="2" s="1"/>
  <c r="J45" i="2"/>
  <c r="O45" i="2" s="1"/>
  <c r="J46" i="2"/>
  <c r="O46" i="2" s="1"/>
  <c r="J47" i="2"/>
  <c r="O47" i="2" s="1"/>
  <c r="J48" i="2"/>
  <c r="O48" i="2" s="1"/>
  <c r="J49" i="2"/>
  <c r="O49" i="2" s="1"/>
  <c r="L6" i="1"/>
  <c r="Q6" i="1" s="1"/>
  <c r="L7" i="1"/>
  <c r="Q7" i="1" s="1"/>
  <c r="L8" i="1"/>
  <c r="Q8" i="1" s="1"/>
  <c r="K6" i="1"/>
  <c r="P6" i="1" s="1"/>
  <c r="K7" i="1"/>
  <c r="P7" i="1" s="1"/>
  <c r="K8" i="1"/>
  <c r="P8" i="1" s="1"/>
  <c r="I6" i="1"/>
  <c r="N6" i="1" s="1"/>
  <c r="I7" i="1"/>
  <c r="N7" i="1" s="1"/>
  <c r="I8" i="1"/>
  <c r="N8" i="1" s="1"/>
  <c r="O6" i="1"/>
  <c r="J7" i="1"/>
  <c r="O7" i="1" s="1"/>
  <c r="J8" i="1"/>
  <c r="O8" i="1" s="1"/>
  <c r="W6" i="2" l="1"/>
  <c r="U13" i="2"/>
  <c r="U11" i="2"/>
  <c r="U6" i="2"/>
  <c r="U10" i="2"/>
  <c r="U8" i="2"/>
  <c r="U12" i="2"/>
  <c r="U9" i="2"/>
  <c r="U7" i="2"/>
  <c r="W8" i="2"/>
  <c r="W12" i="2"/>
  <c r="W10" i="2"/>
  <c r="W7" i="2"/>
  <c r="W13" i="2"/>
  <c r="W11" i="2"/>
  <c r="W9" i="2"/>
  <c r="V6" i="2"/>
  <c r="X6" i="2"/>
  <c r="V8" i="2"/>
  <c r="V12" i="2"/>
  <c r="V10" i="2"/>
  <c r="V7" i="2"/>
  <c r="V13" i="2"/>
  <c r="V11" i="2"/>
  <c r="V9" i="2"/>
  <c r="V14" i="2" s="1"/>
  <c r="X8" i="2"/>
  <c r="X12" i="2"/>
  <c r="X10" i="2"/>
  <c r="X9" i="2"/>
  <c r="X14" i="2" s="1"/>
  <c r="X7" i="2"/>
  <c r="X13" i="2"/>
  <c r="X11" i="2"/>
  <c r="V13" i="1"/>
  <c r="V11" i="1"/>
  <c r="V9" i="1"/>
  <c r="V14" i="1" s="1"/>
  <c r="V7" i="1"/>
  <c r="V12" i="1"/>
  <c r="V10" i="1"/>
  <c r="V8" i="1"/>
  <c r="V6" i="1"/>
  <c r="U12" i="1"/>
  <c r="U10" i="1"/>
  <c r="U8" i="1"/>
  <c r="U6" i="1"/>
  <c r="U13" i="1"/>
  <c r="U11" i="1"/>
  <c r="U9" i="1"/>
  <c r="U14" i="1" s="1"/>
  <c r="U7" i="1"/>
  <c r="W13" i="1"/>
  <c r="W11" i="1"/>
  <c r="W9" i="1"/>
  <c r="W14" i="1" s="1"/>
  <c r="W7" i="1"/>
  <c r="W12" i="1"/>
  <c r="W10" i="1"/>
  <c r="W8" i="1"/>
  <c r="W6" i="1"/>
  <c r="T13" i="1"/>
  <c r="T11" i="1"/>
  <c r="T9" i="1"/>
  <c r="T14" i="1" s="1"/>
  <c r="T7" i="1"/>
  <c r="T12" i="1"/>
  <c r="T10" i="1"/>
  <c r="T8" i="1"/>
  <c r="T6" i="1"/>
  <c r="U14" i="2" l="1"/>
  <c r="W14" i="2"/>
</calcChain>
</file>

<file path=xl/sharedStrings.xml><?xml version="1.0" encoding="utf-8"?>
<sst xmlns="http://schemas.openxmlformats.org/spreadsheetml/2006/main" count="2446" uniqueCount="1316">
  <si>
    <t>(años)</t>
  </si>
  <si>
    <t>(m/10 años)</t>
  </si>
  <si>
    <t>(ár/ha)</t>
  </si>
  <si>
    <t>(cm)</t>
  </si>
  <si>
    <t>I61_4_1_8</t>
  </si>
  <si>
    <t>I61_5_1_9</t>
  </si>
  <si>
    <t>I61_6_1_9</t>
  </si>
  <si>
    <t>I23_39_1_5</t>
  </si>
  <si>
    <t>I23_39_2_5</t>
  </si>
  <si>
    <t>I40_1_1_6</t>
  </si>
  <si>
    <t>I40_1_2_7</t>
  </si>
  <si>
    <t>I84_2_1_2</t>
  </si>
  <si>
    <t>I84_2_2_2</t>
  </si>
  <si>
    <t>I84_2_3_2</t>
  </si>
  <si>
    <t>I84_2_4_2</t>
  </si>
  <si>
    <t>I84_2_5_2</t>
  </si>
  <si>
    <t>I84_2_6_2</t>
  </si>
  <si>
    <t>I84_2_7_2</t>
  </si>
  <si>
    <t>I84_2_8_2</t>
  </si>
  <si>
    <t>I84_2_9_1</t>
  </si>
  <si>
    <t>I84_2_10_1</t>
  </si>
  <si>
    <t>I94_6_1_9</t>
  </si>
  <si>
    <t>I82_5_1_3</t>
  </si>
  <si>
    <t>I82_5_2_2</t>
  </si>
  <si>
    <t>I82_5_3_3</t>
  </si>
  <si>
    <t>I82_5_4_3</t>
  </si>
  <si>
    <t>I93_1_1_6</t>
  </si>
  <si>
    <t>I93_1_2_6</t>
  </si>
  <si>
    <t>I93_1_3_6</t>
  </si>
  <si>
    <t>I93_1_4_5</t>
  </si>
  <si>
    <t>I93_1_5_4</t>
  </si>
  <si>
    <t>I93_1_6_4</t>
  </si>
  <si>
    <t>I93_2_1_6</t>
  </si>
  <si>
    <t>I93_2_2_7</t>
  </si>
  <si>
    <t>I93_2_3_6</t>
  </si>
  <si>
    <t>I93_2_4_6</t>
  </si>
  <si>
    <t>I93_4_1_9</t>
  </si>
  <si>
    <t>I93_4_2_8</t>
  </si>
  <si>
    <t>I93_4_4_9</t>
  </si>
  <si>
    <t>I93_5_1_8</t>
  </si>
  <si>
    <t>I93_5_6_8</t>
  </si>
  <si>
    <t>I93_7_1_4</t>
  </si>
  <si>
    <t>I93_7_2_8</t>
  </si>
  <si>
    <t>I93_7_3_4</t>
  </si>
  <si>
    <t>I93_7_4_4</t>
  </si>
  <si>
    <t>I93_7_5_8</t>
  </si>
  <si>
    <t>I93_7_6_8</t>
  </si>
  <si>
    <t>I93_7_7_6</t>
  </si>
  <si>
    <t>I93_7_8_9</t>
  </si>
  <si>
    <t>I93_7_9_7</t>
  </si>
  <si>
    <t>I93_7_10_5</t>
  </si>
  <si>
    <t>I32_6_1_2</t>
  </si>
  <si>
    <t>I32_6_2_3</t>
  </si>
  <si>
    <t>I32_6_3_1</t>
  </si>
  <si>
    <t>I32_6_4_3</t>
  </si>
  <si>
    <t>I83_103_4_5</t>
  </si>
  <si>
    <t>I34_10_1_2</t>
  </si>
  <si>
    <t>I34_10_2_10</t>
  </si>
  <si>
    <t>I34_10_3_10</t>
  </si>
  <si>
    <t>I34_11_3_10</t>
  </si>
  <si>
    <t>I34_15_1_6</t>
  </si>
  <si>
    <t>I31_52_1_3</t>
  </si>
  <si>
    <t>I64_4_8_9</t>
  </si>
  <si>
    <t>I64_4_9_3</t>
  </si>
  <si>
    <t>I12_16_1_8</t>
  </si>
  <si>
    <t>I34_10_4_10</t>
  </si>
  <si>
    <t>I34_10_5_10</t>
  </si>
  <si>
    <t>I34_14_1_6</t>
  </si>
  <si>
    <t>I34_14_2_6</t>
  </si>
  <si>
    <t>I33_3_1_8</t>
  </si>
  <si>
    <t>I33_1_1_10</t>
  </si>
  <si>
    <t>I34_5_1_9</t>
  </si>
  <si>
    <t>I51_1_1_10</t>
  </si>
  <si>
    <t>I51_1_2_7</t>
  </si>
  <si>
    <t>I51_3_1_8</t>
  </si>
  <si>
    <t>I51_5_1_5</t>
  </si>
  <si>
    <t>I51_5_2_4</t>
  </si>
  <si>
    <t>I51_5_3_4</t>
  </si>
  <si>
    <t>I51_6_1_8</t>
  </si>
  <si>
    <t>I52_10_1_9</t>
  </si>
  <si>
    <t>I52_10_2_8</t>
  </si>
  <si>
    <t>I52_13_1_9</t>
  </si>
  <si>
    <t>I52_15_1_9</t>
  </si>
  <si>
    <t>I52_16_2_8</t>
  </si>
  <si>
    <t>I52_16_3_8</t>
  </si>
  <si>
    <t>I61_1_1_8</t>
  </si>
  <si>
    <t>I61_3_1_6</t>
  </si>
  <si>
    <t>I64_1_1_9</t>
  </si>
  <si>
    <t>I64_1_2_9</t>
  </si>
  <si>
    <t>I64_2_0_9</t>
  </si>
  <si>
    <t>I64_2_2_10</t>
  </si>
  <si>
    <t>I64_7_1_9</t>
  </si>
  <si>
    <t>I64_8_1_8</t>
  </si>
  <si>
    <t>I64_8_2_8</t>
  </si>
  <si>
    <t>I64_10_3_8</t>
  </si>
  <si>
    <t>I64_10_4_8</t>
  </si>
  <si>
    <t>I64_99_1_9</t>
  </si>
  <si>
    <t>I64_99_2_8</t>
  </si>
  <si>
    <t>I72_1_1_10</t>
  </si>
  <si>
    <t>I72_1_2_10</t>
  </si>
  <si>
    <t>I72_1_3_9</t>
  </si>
  <si>
    <t>I72_1_4_9</t>
  </si>
  <si>
    <t>I72_1_5_10</t>
  </si>
  <si>
    <t>I72_2_1_10</t>
  </si>
  <si>
    <t>I72_2_2_10</t>
  </si>
  <si>
    <t>I72_2_3_10</t>
  </si>
  <si>
    <t>I72_2_4_10</t>
  </si>
  <si>
    <t>I72_7_2_8</t>
  </si>
  <si>
    <t>I72_7_3_9</t>
  </si>
  <si>
    <t>I72_7_4_9</t>
  </si>
  <si>
    <t>I72_7_5_7</t>
  </si>
  <si>
    <t>I72_8_1_8</t>
  </si>
  <si>
    <t>I72_8_2_9</t>
  </si>
  <si>
    <t>I72_9_1_9</t>
  </si>
  <si>
    <t>I72_9_2_7</t>
  </si>
  <si>
    <t>I73_1_1_8</t>
  </si>
  <si>
    <t>I73_7_1_5</t>
  </si>
  <si>
    <t>I73_11_1_1</t>
  </si>
  <si>
    <t>I74_1_1_10</t>
  </si>
  <si>
    <t>I74_3_1_10</t>
  </si>
  <si>
    <t>I74_5_1_8</t>
  </si>
  <si>
    <t>I74_5_2_8</t>
  </si>
  <si>
    <t>I74_5_3_8</t>
  </si>
  <si>
    <t>I74_5_4_8</t>
  </si>
  <si>
    <t>I74_5_5_8</t>
  </si>
  <si>
    <t>I74_5_6_8</t>
  </si>
  <si>
    <t>I74_5_7_8</t>
  </si>
  <si>
    <t>I74_5_8_8</t>
  </si>
  <si>
    <t>I74_5_9_8</t>
  </si>
  <si>
    <t>I74_5_10_8</t>
  </si>
  <si>
    <t>I74_5_11_8</t>
  </si>
  <si>
    <t>I74_5_12_8</t>
  </si>
  <si>
    <t>I62_3_1_8</t>
  </si>
  <si>
    <t>I62_5_1_6</t>
  </si>
  <si>
    <t>I83_92_1_9</t>
  </si>
  <si>
    <t>I83_92_2_9</t>
  </si>
  <si>
    <t>I23_1_1_1</t>
  </si>
  <si>
    <t>I23_1_2_1</t>
  </si>
  <si>
    <t>I23_55_1_4</t>
  </si>
  <si>
    <t>I23_55_2_3</t>
  </si>
  <si>
    <t>I23_55_3_4</t>
  </si>
  <si>
    <t>I23_55_4_4</t>
  </si>
  <si>
    <t>I23_55_5_4</t>
  </si>
  <si>
    <t>I31_1_1_1</t>
  </si>
  <si>
    <t>I31_1_2_1</t>
  </si>
  <si>
    <t>I31_2_1_1</t>
  </si>
  <si>
    <t>I31_2_2_4</t>
  </si>
  <si>
    <t>I31_3_1_1</t>
  </si>
  <si>
    <t>I31_3_2_2</t>
  </si>
  <si>
    <t>I31_38_1_3</t>
  </si>
  <si>
    <t>I31_38_2_3</t>
  </si>
  <si>
    <t>I31_38_3_3</t>
  </si>
  <si>
    <t>I31_38_4_3</t>
  </si>
  <si>
    <t>I31_47_1_4</t>
  </si>
  <si>
    <t>I31_47_2_4</t>
  </si>
  <si>
    <t>I31_47_3_4</t>
  </si>
  <si>
    <t>I81_26_1_2</t>
  </si>
  <si>
    <t>I81_26_2_2</t>
  </si>
  <si>
    <t>I81_27_1_2</t>
  </si>
  <si>
    <t>I81_27_2_3</t>
  </si>
  <si>
    <t>I81_28_1_3</t>
  </si>
  <si>
    <t>I81_28_2_2</t>
  </si>
  <si>
    <t>I83_90_1_10</t>
  </si>
  <si>
    <t>I82_14_1_2</t>
  </si>
  <si>
    <t>I82_14_2_2</t>
  </si>
  <si>
    <t>I82_21_1_3</t>
  </si>
  <si>
    <t>I82_21_2_3</t>
  </si>
  <si>
    <t>I82_22_1_2</t>
  </si>
  <si>
    <t>I82_22_2_3</t>
  </si>
  <si>
    <t>I82_23_1_3</t>
  </si>
  <si>
    <t>I82_23_2_3</t>
  </si>
  <si>
    <t>I82_25_1_1</t>
  </si>
  <si>
    <t>SUC_20_1_7</t>
  </si>
  <si>
    <t>SUC_20_2_7</t>
  </si>
  <si>
    <t>I84_1_1_1</t>
  </si>
  <si>
    <t>I84_1_2_1</t>
  </si>
  <si>
    <t>I84_1_3_1</t>
  </si>
  <si>
    <t>I84_1_4_2</t>
  </si>
  <si>
    <t>I84_1_5_2</t>
  </si>
  <si>
    <t>I84_2_2_1</t>
  </si>
  <si>
    <t>I84_3_1_1</t>
  </si>
  <si>
    <t>I84_3_2_1</t>
  </si>
  <si>
    <t>I84_9_1_1</t>
  </si>
  <si>
    <t>I84_9_2_1</t>
  </si>
  <si>
    <t>I84_9_3_1</t>
  </si>
  <si>
    <t>I84_9_4_1</t>
  </si>
  <si>
    <t>I84_9_5_1</t>
  </si>
  <si>
    <t>I84_9_6_1</t>
  </si>
  <si>
    <t>I84_9_7_1</t>
  </si>
  <si>
    <t>I84_9_8_1</t>
  </si>
  <si>
    <t>I84_9_9_1</t>
  </si>
  <si>
    <t>I84_9_10_1</t>
  </si>
  <si>
    <t>I84_9_11_1</t>
  </si>
  <si>
    <t>I84_101_1_1</t>
  </si>
  <si>
    <t>I84_101_2_1</t>
  </si>
  <si>
    <t>I84_101_3_1</t>
  </si>
  <si>
    <t>I84_101_4_1</t>
  </si>
  <si>
    <t>I84_101_5_1</t>
  </si>
  <si>
    <t>I84_101_6_1</t>
  </si>
  <si>
    <t>I84_102_1_1</t>
  </si>
  <si>
    <t>I84_102_2_1</t>
  </si>
  <si>
    <t>I84_102_3_1</t>
  </si>
  <si>
    <t>I84_102_4_1</t>
  </si>
  <si>
    <t>I84_102_5_1</t>
  </si>
  <si>
    <t>I84_102_6_1</t>
  </si>
  <si>
    <t>I84_102_7_1</t>
  </si>
  <si>
    <t>I84_102_8_1</t>
  </si>
  <si>
    <t>I84_102_9_1</t>
  </si>
  <si>
    <t>I84_115_4_1</t>
  </si>
  <si>
    <t>I84_115_6_1</t>
  </si>
  <si>
    <t>I84_115_7_1</t>
  </si>
  <si>
    <t>I34_11_1_9</t>
  </si>
  <si>
    <t>I34_11_2_2</t>
  </si>
  <si>
    <t>I64_3_6_8</t>
  </si>
  <si>
    <t>I64_4_5_9</t>
  </si>
  <si>
    <t>I64_4_6_9</t>
  </si>
  <si>
    <t>I21_1_1_2</t>
  </si>
  <si>
    <t>I21_1_2_2</t>
  </si>
  <si>
    <t>I23_36_1_2</t>
  </si>
  <si>
    <t>I23_36_2_2</t>
  </si>
  <si>
    <t>I23_46_1_4</t>
  </si>
  <si>
    <t>I23_47_1_4</t>
  </si>
  <si>
    <t>I23_47_2_4</t>
  </si>
  <si>
    <t>I23_48_1_5</t>
  </si>
  <si>
    <t>I23_48_2_5</t>
  </si>
  <si>
    <t>I23_48_3_1</t>
  </si>
  <si>
    <t>I23_48_4_5</t>
  </si>
  <si>
    <t>I23_48_5_4</t>
  </si>
  <si>
    <t>I23_49_2_5</t>
  </si>
  <si>
    <t>I23_50_3_5</t>
  </si>
  <si>
    <t>I23_52_1_5</t>
  </si>
  <si>
    <t>I31_42_1_1</t>
  </si>
  <si>
    <t>I31_42_3_4</t>
  </si>
  <si>
    <t>I31_43_1_1</t>
  </si>
  <si>
    <t>I31_43_2_1</t>
  </si>
  <si>
    <t>I31_43_3_1</t>
  </si>
  <si>
    <t>I31_43_4_1</t>
  </si>
  <si>
    <t>I31_50_1_5</t>
  </si>
  <si>
    <t>I31_50_2_4</t>
  </si>
  <si>
    <t>TOQUELÁ_1_1_4</t>
  </si>
  <si>
    <t>TOQUELÁ_2_2_4</t>
  </si>
  <si>
    <t>TOQUELÁ_2_3_4</t>
  </si>
  <si>
    <t>TOQUELÁ_2_4_4</t>
  </si>
  <si>
    <t>TOQUELÁ_3_5_4</t>
  </si>
  <si>
    <t>TOQUELÁ_3_6_4</t>
  </si>
  <si>
    <t>TOQUELÁ_4_7_4</t>
  </si>
  <si>
    <t>TOQUELÁ_4_8_4</t>
  </si>
  <si>
    <t>TOQUELÁ_4_9-4</t>
  </si>
  <si>
    <t>TOQUELÁ_5_10_4</t>
  </si>
  <si>
    <t>TOQUELÁ_5_11_4</t>
  </si>
  <si>
    <t>TOQUELÁ_5_12_4</t>
  </si>
  <si>
    <t>TOQUELÁ_6_13_4</t>
  </si>
  <si>
    <t>TOQUELÁ_6_14_4</t>
  </si>
  <si>
    <t>TOQUELÁ_7_15_4</t>
  </si>
  <si>
    <t>TOQUELÁ_7_16_4</t>
  </si>
  <si>
    <t>TOQUELÁ_7_17_4</t>
  </si>
  <si>
    <t>RECREO_1_1_4</t>
  </si>
  <si>
    <t>RECREO_2_3_4</t>
  </si>
  <si>
    <t>RECREO_2_4_4</t>
  </si>
  <si>
    <t>RECREO_2_5_4</t>
  </si>
  <si>
    <t>RECREO_3_6_4</t>
  </si>
  <si>
    <t>RECREO_3_7_4</t>
  </si>
  <si>
    <t>RECREO_3_8_4</t>
  </si>
  <si>
    <t>RECREO_4_9_4</t>
  </si>
  <si>
    <t>RECREO_4_10_4</t>
  </si>
  <si>
    <t>RECREO_4_11_4</t>
  </si>
  <si>
    <t>RECREO_4_12_4</t>
  </si>
  <si>
    <t>RECREO_5_13_4</t>
  </si>
  <si>
    <t>RECREO_5_14_4</t>
  </si>
  <si>
    <t>RECREO_6_15_4</t>
  </si>
  <si>
    <t>RECREO_6_16_4</t>
  </si>
  <si>
    <t>RECREO_7_17_4</t>
  </si>
  <si>
    <t>RECREO_7_18_4</t>
  </si>
  <si>
    <t>RECREO_7_19_4</t>
  </si>
  <si>
    <t>RECREO_8_20_4</t>
  </si>
  <si>
    <t>RECREO_8_21_4</t>
  </si>
  <si>
    <t>RECREO_9_22_4</t>
  </si>
  <si>
    <t>RECREO_9_23_4</t>
  </si>
  <si>
    <t>RECREO_9_24_4</t>
  </si>
  <si>
    <t>RECREO_1_25_4</t>
  </si>
  <si>
    <t>RECREO_2_26_4</t>
  </si>
  <si>
    <t>RECREO_6_27_4</t>
  </si>
  <si>
    <t>CIENAGA_1_1_4</t>
  </si>
  <si>
    <t>CIENAGA_1_2_4</t>
  </si>
  <si>
    <t>CIENAGA_2_3_4</t>
  </si>
  <si>
    <t>CIENAGA_2_4_4</t>
  </si>
  <si>
    <t>CIENAGA_3_5_4</t>
  </si>
  <si>
    <t>CIENAGA_3_6_4</t>
  </si>
  <si>
    <t>CIENAGA_4_7_4</t>
  </si>
  <si>
    <t>CIENAGA_4_8_4</t>
  </si>
  <si>
    <t>CIENAGA_5_9_4</t>
  </si>
  <si>
    <t>CIENAGA_5_10_4</t>
  </si>
  <si>
    <t>LIBERTAD_1_1_4</t>
  </si>
  <si>
    <t>LIBERTAD_1_2_4</t>
  </si>
  <si>
    <t>LIBERTAD_2_3_4</t>
  </si>
  <si>
    <t>LIBERTAD_2_4_4</t>
  </si>
  <si>
    <t>LIBERTAD_3_5_4</t>
  </si>
  <si>
    <t>LIBERTAD_3_6_4</t>
  </si>
  <si>
    <t>LIBERTAD_4_7_4</t>
  </si>
  <si>
    <t>LIBERTAD_4_8_4</t>
  </si>
  <si>
    <t>LIBERTAD_5_9_4</t>
  </si>
  <si>
    <t>LIBERTAD_5_10_4</t>
  </si>
  <si>
    <t>LIBERTAD_6_11_4</t>
  </si>
  <si>
    <t>LIBERTAD_6_12_4</t>
  </si>
  <si>
    <t>IICIÉNAGA_1_1_4</t>
  </si>
  <si>
    <t>IICIÉNAGA_1_2_4</t>
  </si>
  <si>
    <t>IICIÉNAGA_2_3_4</t>
  </si>
  <si>
    <t>IICIÉNAGA_2_4_4</t>
  </si>
  <si>
    <t>FLORES_1_1_4</t>
  </si>
  <si>
    <t>FLORES_1_2_4</t>
  </si>
  <si>
    <t>FLORES_2_3_4</t>
  </si>
  <si>
    <t>FLORES_2_4_4</t>
  </si>
  <si>
    <t>FLORES_3_5_4</t>
  </si>
  <si>
    <t>FLORES_3_6_4</t>
  </si>
  <si>
    <t>FLORES_3_7_4</t>
  </si>
  <si>
    <t>FLORES_4_8_4</t>
  </si>
  <si>
    <t>FLORES_4_9_4</t>
  </si>
  <si>
    <t>FLORES_5_10_4</t>
  </si>
  <si>
    <t>FLORES_5_11_4</t>
  </si>
  <si>
    <t>FLORES_6_12_4</t>
  </si>
  <si>
    <t>FLORES_6_13_4</t>
  </si>
  <si>
    <t>FLORES_7_14_4</t>
  </si>
  <si>
    <t>FLORES_8_15_4</t>
  </si>
  <si>
    <t>I81_4_1_5</t>
  </si>
  <si>
    <t>I81_4_3_5</t>
  </si>
  <si>
    <t>I81_4_4_6</t>
  </si>
  <si>
    <t>I81_4_5_4</t>
  </si>
  <si>
    <t>I81_4_6_5</t>
  </si>
  <si>
    <t>I81_4_7_5</t>
  </si>
  <si>
    <t>I81_5_1_5</t>
  </si>
  <si>
    <t>I81_5_2_5</t>
  </si>
  <si>
    <t>I81_6_1_4</t>
  </si>
  <si>
    <t>I81_6_2_4</t>
  </si>
  <si>
    <t>I81_6_3_4</t>
  </si>
  <si>
    <t>I81_6_4_3</t>
  </si>
  <si>
    <t>I81_6_5_4</t>
  </si>
  <si>
    <t>I81_6_6_3</t>
  </si>
  <si>
    <t>I81_6_7_5</t>
  </si>
  <si>
    <t>I81_6_8_5</t>
  </si>
  <si>
    <t>I81_6_9_4</t>
  </si>
  <si>
    <t>I81_6_10_3</t>
  </si>
  <si>
    <t>I81_6_11_4</t>
  </si>
  <si>
    <t>I81_6_12_4</t>
  </si>
  <si>
    <t>I81_6_14_3</t>
  </si>
  <si>
    <t>I81_6_15_3</t>
  </si>
  <si>
    <t>I81_6_16_3</t>
  </si>
  <si>
    <t>I92_12_1_4</t>
  </si>
  <si>
    <t>I92_12_2_4</t>
  </si>
  <si>
    <t>I92_12_3_4</t>
  </si>
  <si>
    <t>I92_12_4_2</t>
  </si>
  <si>
    <t>I82_3_1_9</t>
  </si>
  <si>
    <t>I82_3_2_9</t>
  </si>
  <si>
    <t>I82_4_1_3</t>
  </si>
  <si>
    <t>I82_4_2_3</t>
  </si>
  <si>
    <t>I82_4_3_3</t>
  </si>
  <si>
    <t>I82_4_4_3</t>
  </si>
  <si>
    <t>I82_7_1_2</t>
  </si>
  <si>
    <t>I82_7_2_2</t>
  </si>
  <si>
    <t>I82_7_3_2</t>
  </si>
  <si>
    <t>I82_11_1_5</t>
  </si>
  <si>
    <t>I82_11_2_1</t>
  </si>
  <si>
    <t>I82_11_3_1</t>
  </si>
  <si>
    <t>I82_11_4_1</t>
  </si>
  <si>
    <t>I82_11_5_1</t>
  </si>
  <si>
    <t>I82_11_6_6</t>
  </si>
  <si>
    <t>I82_11_7_6</t>
  </si>
  <si>
    <t>I82_11_12_5</t>
  </si>
  <si>
    <t>I82_11_13_6</t>
  </si>
  <si>
    <t>I82_12_6_7</t>
  </si>
  <si>
    <t>I82_12_8_7</t>
  </si>
  <si>
    <t>I82_12_11_6</t>
  </si>
  <si>
    <t>I82_12_17_7</t>
  </si>
  <si>
    <t>I82_12_19_6</t>
  </si>
  <si>
    <t>I82_16_1_5</t>
  </si>
  <si>
    <t>I82_16_2_5</t>
  </si>
  <si>
    <t>I82_16_3_5</t>
  </si>
  <si>
    <t>I82_17_1_1</t>
  </si>
  <si>
    <t>I82_18_1_1</t>
  </si>
  <si>
    <t>I82_18_2_1</t>
  </si>
  <si>
    <t>I82_20_1_2</t>
  </si>
  <si>
    <t>I82_20_2_2</t>
  </si>
  <si>
    <t>I82_20_3_2</t>
  </si>
  <si>
    <t>I21_39_1_5</t>
  </si>
  <si>
    <t>I21_44_1_3</t>
  </si>
  <si>
    <t>I21_45_1_2</t>
  </si>
  <si>
    <t>I21_45_2_2</t>
  </si>
  <si>
    <t>I21_45_3_2</t>
  </si>
  <si>
    <t>I21_45_4_2</t>
  </si>
  <si>
    <t>I21_45_5_2</t>
  </si>
  <si>
    <t>I21_45_6_2</t>
  </si>
  <si>
    <t>I21_45_7_2</t>
  </si>
  <si>
    <t>I21_45_8_2</t>
  </si>
  <si>
    <t>I21_45_9_2</t>
  </si>
  <si>
    <t>I21_47_1_2</t>
  </si>
  <si>
    <t>I21_47_2_2</t>
  </si>
  <si>
    <t>I21_47_3_2</t>
  </si>
  <si>
    <t>I21_47_4_1</t>
  </si>
  <si>
    <t>I21_47_6_1</t>
  </si>
  <si>
    <t>I21_47_7_1</t>
  </si>
  <si>
    <t>I21_47_8_1</t>
  </si>
  <si>
    <t>I22_5_2_9</t>
  </si>
  <si>
    <t>I22_6_1_9</t>
  </si>
  <si>
    <t>I22_6_2_9</t>
  </si>
  <si>
    <t>I22_7_1_9</t>
  </si>
  <si>
    <t>I22_7_2_9</t>
  </si>
  <si>
    <t>I22_8_1_9</t>
  </si>
  <si>
    <t>I22_9_1_7</t>
  </si>
  <si>
    <t>I22_10_1_8</t>
  </si>
  <si>
    <t>I22_10_2_8</t>
  </si>
  <si>
    <t>I22_12_1_7</t>
  </si>
  <si>
    <t>I23_1_1_4</t>
  </si>
  <si>
    <t>I23_38_1_6</t>
  </si>
  <si>
    <t>I23_38_2_6</t>
  </si>
  <si>
    <t>I23_38_3_6</t>
  </si>
  <si>
    <t>I23_38_4_6</t>
  </si>
  <si>
    <t>I23_38_5_7</t>
  </si>
  <si>
    <t>I23_38_6_6</t>
  </si>
  <si>
    <t>I23_38_7_6</t>
  </si>
  <si>
    <t>I23_40_1_3</t>
  </si>
  <si>
    <t>I23_40_2_4</t>
  </si>
  <si>
    <t>I23_40_3_4</t>
  </si>
  <si>
    <t>I23_40_4_5</t>
  </si>
  <si>
    <t>I23_41_1_6</t>
  </si>
  <si>
    <t>I23_41_2_5</t>
  </si>
  <si>
    <t>I23_41_3_5</t>
  </si>
  <si>
    <t>I23_41_4_5</t>
  </si>
  <si>
    <t>I23_41_5_5</t>
  </si>
  <si>
    <t>I23_42_1_6</t>
  </si>
  <si>
    <t>I23_42_2_5</t>
  </si>
  <si>
    <t>I23_42_3_4</t>
  </si>
  <si>
    <t>I23_42_4_6</t>
  </si>
  <si>
    <t>I23_42_5_4</t>
  </si>
  <si>
    <t>I23_42_6_1</t>
  </si>
  <si>
    <t>I23_54_1_5</t>
  </si>
  <si>
    <t>I23_56_1_4</t>
  </si>
  <si>
    <t>I23_62_2_2</t>
  </si>
  <si>
    <t>I23_62_4_1</t>
  </si>
  <si>
    <t>I23_62_5_1</t>
  </si>
  <si>
    <t>I23_62_6_2</t>
  </si>
  <si>
    <t>I23_62_7_2</t>
  </si>
  <si>
    <t>I23_62_8_2</t>
  </si>
  <si>
    <t>I23_62_9_2</t>
  </si>
  <si>
    <t>I23_62_10_1</t>
  </si>
  <si>
    <t>I23_62_11_2</t>
  </si>
  <si>
    <t>I23_62_12_2</t>
  </si>
  <si>
    <t>I23_62_13_3</t>
  </si>
  <si>
    <t>I23_62_34_2</t>
  </si>
  <si>
    <t>I23_62_37_2</t>
  </si>
  <si>
    <t>I23_62_38_2</t>
  </si>
  <si>
    <t>I23_62_39_2</t>
  </si>
  <si>
    <t>I24_42_1_6</t>
  </si>
  <si>
    <t>I24_43_1_5</t>
  </si>
  <si>
    <t>I24_45_1_6</t>
  </si>
  <si>
    <t>I24_49_1_1</t>
  </si>
  <si>
    <t>I24_49_2_1</t>
  </si>
  <si>
    <t>I24_49_3_2</t>
  </si>
  <si>
    <t>I24_49_4_2</t>
  </si>
  <si>
    <t>I24_49_5_2</t>
  </si>
  <si>
    <t>I24_49_6_2</t>
  </si>
  <si>
    <t>I24_49_7_1</t>
  </si>
  <si>
    <t>I24_49_8_2</t>
  </si>
  <si>
    <t>I24_49_9_2</t>
  </si>
  <si>
    <t>I34_4_2_10</t>
  </si>
  <si>
    <t>I34_12_1_4</t>
  </si>
  <si>
    <t>I34_12_2_9</t>
  </si>
  <si>
    <t>I34_12_3_9</t>
  </si>
  <si>
    <t>I34_12_4_9</t>
  </si>
  <si>
    <t>I34_12_5_10</t>
  </si>
  <si>
    <t>I34_12_6_9</t>
  </si>
  <si>
    <t>I34_12_7_9</t>
  </si>
  <si>
    <t>I34_13_1_9</t>
  </si>
  <si>
    <t>I34_13_2_9</t>
  </si>
  <si>
    <t>I41_13_1_6</t>
  </si>
  <si>
    <t>I51_8_1_8</t>
  </si>
  <si>
    <t>I52_17_1_7</t>
  </si>
  <si>
    <t>I64_6_1_9</t>
  </si>
  <si>
    <t>I64_6_2_9</t>
  </si>
  <si>
    <t>I64_6_3_9</t>
  </si>
  <si>
    <t>I73_3_1_6</t>
  </si>
  <si>
    <t>I73_3_2_1</t>
  </si>
  <si>
    <t>I73_4_1_7</t>
  </si>
  <si>
    <t>I73_4_2_1</t>
  </si>
  <si>
    <t>I73_5_1_9</t>
  </si>
  <si>
    <t>I73_8_1_1</t>
  </si>
  <si>
    <t>I73_9_1_1</t>
  </si>
  <si>
    <t>I73_10_1_1</t>
  </si>
  <si>
    <t>I94_5_2_10</t>
  </si>
  <si>
    <t>I12_10_1_9</t>
  </si>
  <si>
    <t>I12_10_2_8</t>
  </si>
  <si>
    <t>I12_10_3_9</t>
  </si>
  <si>
    <t>I12_10_4_8</t>
  </si>
  <si>
    <t>I12_10_5_9</t>
  </si>
  <si>
    <t>I12_10_6_9</t>
  </si>
  <si>
    <t>I12_10_7_9</t>
  </si>
  <si>
    <t>I12_10_8_8</t>
  </si>
  <si>
    <t>I12_10_9_9</t>
  </si>
  <si>
    <t>I12_10_10_9</t>
  </si>
  <si>
    <t>I12_10_11_7</t>
  </si>
  <si>
    <t>I12_10_12_9</t>
  </si>
  <si>
    <t>I12_10_13_9</t>
  </si>
  <si>
    <t>I12_10_14_9</t>
  </si>
  <si>
    <t>I12_10_15_9</t>
  </si>
  <si>
    <t>I12_10_16_9</t>
  </si>
  <si>
    <t>I12_10_17_9</t>
  </si>
  <si>
    <t>I12_10_18_9</t>
  </si>
  <si>
    <t>I12_10_19_9</t>
  </si>
  <si>
    <t>I12_10_20_9</t>
  </si>
  <si>
    <t>I12_13_1_7</t>
  </si>
  <si>
    <t>I12_13_2_8</t>
  </si>
  <si>
    <t>I12_13_3_8</t>
  </si>
  <si>
    <t>I12_13_4_8</t>
  </si>
  <si>
    <t>I12_13_5_7</t>
  </si>
  <si>
    <t>I12_17_1_8</t>
  </si>
  <si>
    <t>I12_17_2_9</t>
  </si>
  <si>
    <t>I12_17_3_9</t>
  </si>
  <si>
    <t>I12_17_4_9</t>
  </si>
  <si>
    <t>I12_17_5_8</t>
  </si>
  <si>
    <t>I12_17_8_9</t>
  </si>
  <si>
    <t>I12_17_9_8</t>
  </si>
  <si>
    <t>I12_17_10_9</t>
  </si>
  <si>
    <t>I12_17_11_9</t>
  </si>
  <si>
    <t>I12_17_12_9</t>
  </si>
  <si>
    <t>I12_17_13_9</t>
  </si>
  <si>
    <t>I12_17_14_9</t>
  </si>
  <si>
    <t>I12_17_15_9</t>
  </si>
  <si>
    <t>I12_17_16_9</t>
  </si>
  <si>
    <t>I12_17_17_9</t>
  </si>
  <si>
    <t>I12_17_18_9</t>
  </si>
  <si>
    <t>I12_17_19_7</t>
  </si>
  <si>
    <t>I12_17_20_9</t>
  </si>
  <si>
    <t>I12_20_1_7</t>
  </si>
  <si>
    <t>I12_20_2_7</t>
  </si>
  <si>
    <t>I12_20_3_5</t>
  </si>
  <si>
    <t>I12_20_4_7</t>
  </si>
  <si>
    <t>I12_20_5_7</t>
  </si>
  <si>
    <t>I12_20_6_7</t>
  </si>
  <si>
    <t>I12_20_7_7</t>
  </si>
  <si>
    <t>I12_20_8_6</t>
  </si>
  <si>
    <t>I12_20_9_7</t>
  </si>
  <si>
    <t>I12_20_10_7</t>
  </si>
  <si>
    <t>I21_19_5_2</t>
  </si>
  <si>
    <t>I21_19_9_3</t>
  </si>
  <si>
    <t>I22_2_1_9</t>
  </si>
  <si>
    <t>I22_2_2_5</t>
  </si>
  <si>
    <t>I22_3_2_9</t>
  </si>
  <si>
    <t>I22_4_1_5</t>
  </si>
  <si>
    <t>I22_11_1_6</t>
  </si>
  <si>
    <t>I24_24_1_5</t>
  </si>
  <si>
    <t>I24_24_2_6</t>
  </si>
  <si>
    <t>I24_25_1_5</t>
  </si>
  <si>
    <t>I24_25_2_3</t>
  </si>
  <si>
    <t>I24_27_1_4</t>
  </si>
  <si>
    <t>I24_28_1_5</t>
  </si>
  <si>
    <t>I24_30_1_4</t>
  </si>
  <si>
    <t>I24_31_1_7</t>
  </si>
  <si>
    <t>I24_32_1_7</t>
  </si>
  <si>
    <t>I24_33_1_7</t>
  </si>
  <si>
    <t>I24_34_1_2</t>
  </si>
  <si>
    <t>I24_37_1_3</t>
  </si>
  <si>
    <t>I24_38_2_6</t>
  </si>
  <si>
    <t>I24_40_1_2</t>
  </si>
  <si>
    <t>I24_41_1_5</t>
  </si>
  <si>
    <t>I24_41_2_6</t>
  </si>
  <si>
    <t>I24_46_1_5</t>
  </si>
  <si>
    <t>I24_46_2_5</t>
  </si>
  <si>
    <t>I24_48_2_1</t>
  </si>
  <si>
    <t>I24_48_3_1</t>
  </si>
  <si>
    <t>I24_48_4_1</t>
  </si>
  <si>
    <t>I33_2_1_10</t>
  </si>
  <si>
    <t>I34_6_1_10</t>
  </si>
  <si>
    <t>I34_6_2_10</t>
  </si>
  <si>
    <t>I34_7_1_10</t>
  </si>
  <si>
    <t>I34_7_2_10</t>
  </si>
  <si>
    <t>I34_7_3_10</t>
  </si>
  <si>
    <t>I34_8_1_10</t>
  </si>
  <si>
    <t>I34_9_1_10</t>
  </si>
  <si>
    <t>I40_2_1_2</t>
  </si>
  <si>
    <t>I40_2_2_2</t>
  </si>
  <si>
    <t>I41_1_1_10</t>
  </si>
  <si>
    <t>I41_2_1_10</t>
  </si>
  <si>
    <t>I41_3_1_10</t>
  </si>
  <si>
    <t>I41_4_1_10</t>
  </si>
  <si>
    <t>I41_5_1_10</t>
  </si>
  <si>
    <t>I41_11_1_7</t>
  </si>
  <si>
    <t>I41_12_1_7</t>
  </si>
  <si>
    <t>I42_2_1_5</t>
  </si>
  <si>
    <t>I42_5_1_6</t>
  </si>
  <si>
    <t>I42_5_2_5</t>
  </si>
  <si>
    <t>I92_3_1_5</t>
  </si>
  <si>
    <t>I92_3_2_5</t>
  </si>
  <si>
    <t>I92_8_1_6</t>
  </si>
  <si>
    <t>I92_8_2_5</t>
  </si>
  <si>
    <t>I92_8_3_6</t>
  </si>
  <si>
    <t>I92_8_4_6</t>
  </si>
  <si>
    <t>I92_8_5_6</t>
  </si>
  <si>
    <t>I92_8_6_6</t>
  </si>
  <si>
    <t>I92_8_7_6</t>
  </si>
  <si>
    <t>I92_8_8_6</t>
  </si>
  <si>
    <t>I92_8_9_6</t>
  </si>
  <si>
    <t>I92_8_10_6</t>
  </si>
  <si>
    <t>I92_8_11_5</t>
  </si>
  <si>
    <t>I92_8_12_6</t>
  </si>
  <si>
    <t>I92_8_13_6</t>
  </si>
  <si>
    <t>I92_8_14_5</t>
  </si>
  <si>
    <t>I92_8_15_6</t>
  </si>
  <si>
    <t>I92_8_16_6</t>
  </si>
  <si>
    <t>I63_3_1_5</t>
  </si>
  <si>
    <t>I51_2_1_9</t>
  </si>
  <si>
    <t>I63_1_1_4</t>
  </si>
  <si>
    <t>I63_2_1_2</t>
  </si>
  <si>
    <t>I64_5_1_9</t>
  </si>
  <si>
    <t>I64_5_2_9</t>
  </si>
  <si>
    <t>I64_5_3_9</t>
  </si>
  <si>
    <t>I64_5_4_9</t>
  </si>
  <si>
    <t>I64_5_5_9</t>
  </si>
  <si>
    <t>I64_5_6_9</t>
  </si>
  <si>
    <t>I64_10_1_8</t>
  </si>
  <si>
    <t>I64_10_2_8</t>
  </si>
  <si>
    <t>I73_2_1_6</t>
  </si>
  <si>
    <t>I74_4_1_9</t>
  </si>
  <si>
    <t>I64_3_1_9</t>
  </si>
  <si>
    <t>I64_3_2_9</t>
  </si>
  <si>
    <t>I64_3_3_9</t>
  </si>
  <si>
    <t>I64_4_1_9</t>
  </si>
  <si>
    <t>I64_4_2_9</t>
  </si>
  <si>
    <t>I64_4_3_9</t>
  </si>
  <si>
    <t>I64_4_4_9</t>
  </si>
  <si>
    <t>I64_3_5_8</t>
  </si>
  <si>
    <t>I31_5_1_9</t>
  </si>
  <si>
    <t>I31_51_1_5</t>
  </si>
  <si>
    <t>I31_51_2_4</t>
  </si>
  <si>
    <t>I31_51_3_5</t>
  </si>
  <si>
    <t>I31_51_4_5</t>
  </si>
  <si>
    <t>I12_14_1_8</t>
  </si>
  <si>
    <t>I21_24_1_2</t>
  </si>
  <si>
    <t>I21_24_2_2</t>
  </si>
  <si>
    <t>I21_24_4_3</t>
  </si>
  <si>
    <t>I21_25_1_5</t>
  </si>
  <si>
    <t>I21_25_2_5</t>
  </si>
  <si>
    <t>I21_25_3_4</t>
  </si>
  <si>
    <t>I23_43_1_4</t>
  </si>
  <si>
    <t>I23_43_2_2</t>
  </si>
  <si>
    <t>I23_43_3_2</t>
  </si>
  <si>
    <t>I23_43_4_4</t>
  </si>
  <si>
    <t>I23_43_5_4</t>
  </si>
  <si>
    <t>I23_43_6_4</t>
  </si>
  <si>
    <t>I23_44_1_2</t>
  </si>
  <si>
    <t>I23_44_2_1</t>
  </si>
  <si>
    <t>I23_44_4_1</t>
  </si>
  <si>
    <t>I23_44_5_1</t>
  </si>
  <si>
    <t>I23_44_6_1</t>
  </si>
  <si>
    <t>I23_45_2_1</t>
  </si>
  <si>
    <t>I23_57_1_3</t>
  </si>
  <si>
    <t>I23_57_2_3</t>
  </si>
  <si>
    <t>I23_57_3_4</t>
  </si>
  <si>
    <t>I23_57_4_4</t>
  </si>
  <si>
    <t>I23_57_5_3</t>
  </si>
  <si>
    <t>I23_58_1_4</t>
  </si>
  <si>
    <t>I23_58_2_4</t>
  </si>
  <si>
    <t>I23_59_1_3</t>
  </si>
  <si>
    <t>I23_59_2_3</t>
  </si>
  <si>
    <t>I25_13_2_1</t>
  </si>
  <si>
    <t>I31_41_1_1</t>
  </si>
  <si>
    <t>I31_41_2_1</t>
  </si>
  <si>
    <t>I31_41_3_1</t>
  </si>
  <si>
    <t>I31_41_4_1</t>
  </si>
  <si>
    <t>I31_41_5_1</t>
  </si>
  <si>
    <t>I31_41_6_1</t>
  </si>
  <si>
    <t>I31_41_7_1</t>
  </si>
  <si>
    <t>I31_41_8_1</t>
  </si>
  <si>
    <t>I42_6_1_4</t>
  </si>
  <si>
    <t>I42_6_2_1</t>
  </si>
  <si>
    <t>I81_25_1_1</t>
  </si>
  <si>
    <t>I92_4_1_7</t>
  </si>
  <si>
    <t>I92_4_2_6</t>
  </si>
  <si>
    <t>I92_4_3_5</t>
  </si>
  <si>
    <t>I92_4_4_6</t>
  </si>
  <si>
    <t>I92_4_5_6</t>
  </si>
  <si>
    <t>I92_6_1_4</t>
  </si>
  <si>
    <t>I92_6_2_4</t>
  </si>
  <si>
    <t>I92_6_3_3</t>
  </si>
  <si>
    <t>I92_9_1_5</t>
  </si>
  <si>
    <t>I92_9_2_5</t>
  </si>
  <si>
    <t>I92_9_3_5</t>
  </si>
  <si>
    <t>I94_1_1_9</t>
  </si>
  <si>
    <t>I94_4_1_6</t>
  </si>
  <si>
    <t>I94_7_1_9</t>
  </si>
  <si>
    <t>SUC_55_1_7</t>
  </si>
  <si>
    <t>SUC_55_2_7</t>
  </si>
  <si>
    <t>SUC_55_3_7</t>
  </si>
  <si>
    <t>SUC_55_4_6</t>
  </si>
  <si>
    <t>I62_9_1_1</t>
  </si>
  <si>
    <t>I91_7_1_1</t>
  </si>
  <si>
    <t>I91_7_2_1</t>
  </si>
  <si>
    <t>I91_7_3_1</t>
  </si>
  <si>
    <t>I91_9_2_1</t>
  </si>
  <si>
    <t>I91_9_1_1</t>
  </si>
  <si>
    <t>I91_9_3_1</t>
  </si>
  <si>
    <t>I91_14_1_1</t>
  </si>
  <si>
    <t>I91_14_2_1</t>
  </si>
  <si>
    <t>I91_15_1_1</t>
  </si>
  <si>
    <t>I91_15_2_1</t>
  </si>
  <si>
    <t>I91_15_3_1</t>
  </si>
  <si>
    <t>I91_16_1_1</t>
  </si>
  <si>
    <t>I91_21_1_1</t>
  </si>
  <si>
    <t>I91_21_2_1</t>
  </si>
  <si>
    <t>I91_21_3_1</t>
  </si>
  <si>
    <t>I91_8_1_1</t>
  </si>
  <si>
    <t>I91_8_2_1</t>
  </si>
  <si>
    <t>I91_8_3_1</t>
  </si>
  <si>
    <t>I42_9_1_1</t>
  </si>
  <si>
    <t>I42_10_1_1</t>
  </si>
  <si>
    <t>I42_11_1_1</t>
  </si>
  <si>
    <t>I42_12_1_1</t>
  </si>
  <si>
    <t>I42_12_2_1</t>
  </si>
  <si>
    <t>I42_13_1_1</t>
  </si>
  <si>
    <t>I42_14_2_1</t>
  </si>
  <si>
    <t>I93_3_1_1</t>
  </si>
  <si>
    <t>I94_10_1_1</t>
  </si>
  <si>
    <t>I92_19_1_1</t>
  </si>
  <si>
    <t>I40_3_1_1</t>
  </si>
  <si>
    <t>I40_3_2_1</t>
  </si>
  <si>
    <t>I40_3_3_1</t>
  </si>
  <si>
    <t>I40_5_1_1</t>
  </si>
  <si>
    <t>I40_6_1_1</t>
  </si>
  <si>
    <t>I92_17_1_1</t>
  </si>
  <si>
    <t>I25_18_1_1</t>
  </si>
  <si>
    <t>I31_49_1_4</t>
  </si>
  <si>
    <t>I31_49_2_5</t>
  </si>
  <si>
    <t>I31_49_3_4</t>
  </si>
  <si>
    <t>I31_49_4_2</t>
  </si>
  <si>
    <t>I31_49_5_5</t>
  </si>
  <si>
    <t>I81_812_5_2</t>
  </si>
  <si>
    <t>I81_812_8_2</t>
  </si>
  <si>
    <t>I84_3_2_2</t>
  </si>
  <si>
    <t>I84_3_3_2</t>
  </si>
  <si>
    <t>I84_3_4_2</t>
  </si>
  <si>
    <t>I84_13_2_1</t>
  </si>
  <si>
    <t>I84_13_3_1</t>
  </si>
  <si>
    <t>I84_13_5_1</t>
  </si>
  <si>
    <t>I84_15_6_2</t>
  </si>
  <si>
    <t>I84_15_7_2</t>
  </si>
  <si>
    <t>I84_18_1_1</t>
  </si>
  <si>
    <t>I84_18_2_1</t>
  </si>
  <si>
    <t>I84_115_5_1</t>
  </si>
  <si>
    <t>SUC_19_1_3</t>
  </si>
  <si>
    <t>SUC_19_2_3</t>
  </si>
  <si>
    <t>SUC_19_3_8</t>
  </si>
  <si>
    <t>I21_11_1_3</t>
  </si>
  <si>
    <t>I21_11_2_4</t>
  </si>
  <si>
    <t>I21_11_3_3</t>
  </si>
  <si>
    <t>I21_12_1_3</t>
  </si>
  <si>
    <t>I21_12_2_3</t>
  </si>
  <si>
    <t>I21_12_3_3</t>
  </si>
  <si>
    <t>I21_12_4_2</t>
  </si>
  <si>
    <t>I25_1_1_1</t>
  </si>
  <si>
    <t>I25_2_1_1</t>
  </si>
  <si>
    <t>I25_4_1_8</t>
  </si>
  <si>
    <t>I25_4_2_8</t>
  </si>
  <si>
    <t>I25_4_3_8</t>
  </si>
  <si>
    <t>I25_4_4_8</t>
  </si>
  <si>
    <t>I25_4_5_8</t>
  </si>
  <si>
    <t>I25_4_6_8</t>
  </si>
  <si>
    <t>I25_4_7_8</t>
  </si>
  <si>
    <t>I25_4_8_4</t>
  </si>
  <si>
    <t>I25_4_9_8</t>
  </si>
  <si>
    <t>I25_4_10_8</t>
  </si>
  <si>
    <t>I25_4_11_7</t>
  </si>
  <si>
    <t>I25_4_13_7</t>
  </si>
  <si>
    <t>I25_4_14_8</t>
  </si>
  <si>
    <t>I25_4_15_4</t>
  </si>
  <si>
    <t>I25_8_1_9</t>
  </si>
  <si>
    <t>I25_9_1_9</t>
  </si>
  <si>
    <t>I25_9_3_9</t>
  </si>
  <si>
    <t>I25_16_1_5</t>
  </si>
  <si>
    <t>I25_16_2_5</t>
  </si>
  <si>
    <t>I25_16_3_5</t>
  </si>
  <si>
    <t>I25_16_4_5</t>
  </si>
  <si>
    <t>I25_16_6_5</t>
  </si>
  <si>
    <t>I25_16_7_5</t>
  </si>
  <si>
    <t>I25_16_8_5</t>
  </si>
  <si>
    <t>I31_2_1_6</t>
  </si>
  <si>
    <t>I31_6_1_9</t>
  </si>
  <si>
    <t>I31_7_1_7</t>
  </si>
  <si>
    <t>I31_26_4_3</t>
  </si>
  <si>
    <t>I31_30_1_3</t>
  </si>
  <si>
    <t>I31_30_2_3</t>
  </si>
  <si>
    <t>I31_30_3_3</t>
  </si>
  <si>
    <t>I31_33_1_7</t>
  </si>
  <si>
    <t>I31_33_2_9</t>
  </si>
  <si>
    <t>I31_33_3_8</t>
  </si>
  <si>
    <t>I31_33_4_7</t>
  </si>
  <si>
    <t>I31_33_5_2</t>
  </si>
  <si>
    <t>I31_46_1_5</t>
  </si>
  <si>
    <t>I31_46_2_5</t>
  </si>
  <si>
    <t>I31_46_3_5</t>
  </si>
  <si>
    <t>I31_46_4_4</t>
  </si>
  <si>
    <t>I31_46_5_4</t>
  </si>
  <si>
    <t>I42_4_1_6</t>
  </si>
  <si>
    <t>I42_4_2_5</t>
  </si>
  <si>
    <t>I42_4_3_5</t>
  </si>
  <si>
    <t>I42_7_1_1</t>
  </si>
  <si>
    <t>I42_7_2_1</t>
  </si>
  <si>
    <t>I42_7_3_1</t>
  </si>
  <si>
    <t>I42_7_4_1</t>
  </si>
  <si>
    <t>I42_7_5_1</t>
  </si>
  <si>
    <t>I42_7_6_1</t>
  </si>
  <si>
    <t>I42_7_7_1</t>
  </si>
  <si>
    <t>I42_7_8_1</t>
  </si>
  <si>
    <t>I42_7_9_1</t>
  </si>
  <si>
    <t>I81_8_3_2</t>
  </si>
  <si>
    <t>I81_8_5_2</t>
  </si>
  <si>
    <t>I81_8_6_2</t>
  </si>
  <si>
    <t>I81_8_8_2</t>
  </si>
  <si>
    <t>I81_8_9_2</t>
  </si>
  <si>
    <t>I81_8_10_2</t>
  </si>
  <si>
    <t>I81_21_1_3</t>
  </si>
  <si>
    <t>I81_21_2_1</t>
  </si>
  <si>
    <t>I81_21_3_3</t>
  </si>
  <si>
    <t>I81_22_1_1</t>
  </si>
  <si>
    <t>I81_22_2_1</t>
  </si>
  <si>
    <t>I81_22_5_1</t>
  </si>
  <si>
    <t>I81_22_6_1</t>
  </si>
  <si>
    <t>I81_22_7_1</t>
  </si>
  <si>
    <t>I81_22_8_1</t>
  </si>
  <si>
    <t>I81_812_2_2</t>
  </si>
  <si>
    <t>I83_1_2_2</t>
  </si>
  <si>
    <t>I83_1_3_2</t>
  </si>
  <si>
    <t>I83_1_4_2</t>
  </si>
  <si>
    <t>I83_1_5_2</t>
  </si>
  <si>
    <t>I83_2_1_1</t>
  </si>
  <si>
    <t>I83_2_2_1</t>
  </si>
  <si>
    <t>I83_2_3_1</t>
  </si>
  <si>
    <t>I83_2_4_1</t>
  </si>
  <si>
    <t>I83_2_6_1</t>
  </si>
  <si>
    <t>I83_3_1_2</t>
  </si>
  <si>
    <t>I83_3_2_2</t>
  </si>
  <si>
    <t>I83_3_3_2</t>
  </si>
  <si>
    <t>I83_3_4_2</t>
  </si>
  <si>
    <t>I83_3_5_2</t>
  </si>
  <si>
    <t>I83_3_6_2</t>
  </si>
  <si>
    <t>I83_3_7_2</t>
  </si>
  <si>
    <t>I83_3_8_1</t>
  </si>
  <si>
    <t>I83_3_9_1</t>
  </si>
  <si>
    <t>I83_3_10_2</t>
  </si>
  <si>
    <t>I83_4_1_1</t>
  </si>
  <si>
    <t>I83_4_2_1</t>
  </si>
  <si>
    <t>I83_4_3_1</t>
  </si>
  <si>
    <t>I83_4_4_1</t>
  </si>
  <si>
    <t>I83_4_5_1</t>
  </si>
  <si>
    <t>I83_4_6_1</t>
  </si>
  <si>
    <t>I83_4_7_1</t>
  </si>
  <si>
    <t>I83_4_9_1</t>
  </si>
  <si>
    <t>I83_5_1_1</t>
  </si>
  <si>
    <t>I83_5_4_1</t>
  </si>
  <si>
    <t>I83_5_5_1</t>
  </si>
  <si>
    <t>I83_5_7_1</t>
  </si>
  <si>
    <t>I83_5_8_1</t>
  </si>
  <si>
    <t>I83_6_1_1</t>
  </si>
  <si>
    <t>I83_6_2_1</t>
  </si>
  <si>
    <t>I83_6_3_1</t>
  </si>
  <si>
    <t>I83_6_4_1</t>
  </si>
  <si>
    <t>I83_6_5_1</t>
  </si>
  <si>
    <t>I83_6_6_1</t>
  </si>
  <si>
    <t>I83_6_8_1</t>
  </si>
  <si>
    <t>I83_7_1_1</t>
  </si>
  <si>
    <t>I83_7_2_1</t>
  </si>
  <si>
    <t>I83_7_3_1</t>
  </si>
  <si>
    <t>I83_7_4_1</t>
  </si>
  <si>
    <t>I83_7_5_1</t>
  </si>
  <si>
    <t>I83_7_6_1</t>
  </si>
  <si>
    <t>I83_7_7_1</t>
  </si>
  <si>
    <t>I83_8_1_1</t>
  </si>
  <si>
    <t>I83_8_2_1</t>
  </si>
  <si>
    <t>I83_8_3_1</t>
  </si>
  <si>
    <t>I83_8_5_1</t>
  </si>
  <si>
    <t>I83_8_6_1</t>
  </si>
  <si>
    <t>I83_8_8_1</t>
  </si>
  <si>
    <t>I83_9_1_2</t>
  </si>
  <si>
    <t>I83_9_2_2</t>
  </si>
  <si>
    <t>I83_9_3_2</t>
  </si>
  <si>
    <t>I83_9_4_2</t>
  </si>
  <si>
    <t>I83_9_5_2</t>
  </si>
  <si>
    <t>I83_9_6_2</t>
  </si>
  <si>
    <t>I83_91_1_10</t>
  </si>
  <si>
    <t>I83_104_1_2</t>
  </si>
  <si>
    <t>I84_1_1_2</t>
  </si>
  <si>
    <t>I84_1_2_3</t>
  </si>
  <si>
    <t>I84_6_1_1</t>
  </si>
  <si>
    <t>I84_6_2_1</t>
  </si>
  <si>
    <t>I84_6_3_1</t>
  </si>
  <si>
    <t>I84_6_4_1</t>
  </si>
  <si>
    <t>I84_6_5_1</t>
  </si>
  <si>
    <t>I84_16_1_1</t>
  </si>
  <si>
    <t>I84_115_1_1</t>
  </si>
  <si>
    <t>I84_115_2_1</t>
  </si>
  <si>
    <t>I84_115_3_1</t>
  </si>
  <si>
    <t>PFC_83085_1_2</t>
  </si>
  <si>
    <t>PFC_83085_2_2</t>
  </si>
  <si>
    <t>PFC_83085_3_2</t>
  </si>
  <si>
    <t>PFC_83085_4_2</t>
  </si>
  <si>
    <t>PFC_83085_5_2</t>
  </si>
  <si>
    <t>PFC_83085_6_2</t>
  </si>
  <si>
    <t>PFC_83085_7_2</t>
  </si>
  <si>
    <t>PFC_83085_8_2</t>
  </si>
  <si>
    <t>PFC_83085_10_2</t>
  </si>
  <si>
    <t>PFC_83085_11_2</t>
  </si>
  <si>
    <t>PFC_83085_12_2</t>
  </si>
  <si>
    <t>PFC_83085_13_2</t>
  </si>
  <si>
    <t>PFC_83085_14_2</t>
  </si>
  <si>
    <t>PFC_83085_15_2</t>
  </si>
  <si>
    <t>PFC_83085_16_2</t>
  </si>
  <si>
    <t>PFC_83085_17_2</t>
  </si>
  <si>
    <t>PFC_83085_18_2</t>
  </si>
  <si>
    <t>PFC_83085_19_2</t>
  </si>
  <si>
    <t>PFC_83085_20_2</t>
  </si>
  <si>
    <t>PFC_83085_21_2</t>
  </si>
  <si>
    <t>PFC_83088_1_3</t>
  </si>
  <si>
    <t>PFC_83088_2_3</t>
  </si>
  <si>
    <t>PFC_83088_3_4</t>
  </si>
  <si>
    <t>PFC_83088_4_4</t>
  </si>
  <si>
    <t>PFC_83088_5_3</t>
  </si>
  <si>
    <t>PFC_84001_1_1</t>
  </si>
  <si>
    <t>PFC_84001_2_1</t>
  </si>
  <si>
    <t>PFC_84001_3_1</t>
  </si>
  <si>
    <t>PFC_84001_4_1</t>
  </si>
  <si>
    <t>PFC_84001_5_1</t>
  </si>
  <si>
    <t>PFC_84001_6_1</t>
  </si>
  <si>
    <t>PFC_84001_7_1</t>
  </si>
  <si>
    <t>PFC_84001_8_1</t>
  </si>
  <si>
    <t>PFC_84001_9_1</t>
  </si>
  <si>
    <t>PFC_84001_10_1</t>
  </si>
  <si>
    <t>PFC_84001_11_1</t>
  </si>
  <si>
    <t>PFC_84001_12_1</t>
  </si>
  <si>
    <t>PFC_84001_13_1</t>
  </si>
  <si>
    <t>PFC_84001_14_1</t>
  </si>
  <si>
    <t>PFC_84001_15_1</t>
  </si>
  <si>
    <t>PFC_84001_16_1</t>
  </si>
  <si>
    <t>PFC_84001_17_1</t>
  </si>
  <si>
    <t>PFC_84001_18_1</t>
  </si>
  <si>
    <t>PFC_84001_19_1</t>
  </si>
  <si>
    <t>PFC_84006_1_3</t>
  </si>
  <si>
    <t>PFC_84006_2_3</t>
  </si>
  <si>
    <t>PFC_84006_3_3</t>
  </si>
  <si>
    <t>PFC_84006_4_3</t>
  </si>
  <si>
    <t>PFC_84006_5_3</t>
  </si>
  <si>
    <t>PFC_84006_6_3</t>
  </si>
  <si>
    <t>PFC_84006_7_3</t>
  </si>
  <si>
    <t>PFC_84006_8_3</t>
  </si>
  <si>
    <t>PFC_84049_1_3</t>
  </si>
  <si>
    <t>PFC_84049_2_3</t>
  </si>
  <si>
    <t>PFC_84049_3_3</t>
  </si>
  <si>
    <t>PFC_84049_4_3</t>
  </si>
  <si>
    <t>PFC_84049_5_3</t>
  </si>
  <si>
    <t>PFC_84068_1_2</t>
  </si>
  <si>
    <t>PFC_84068_2_3</t>
  </si>
  <si>
    <t>PFC_84068_3_3</t>
  </si>
  <si>
    <t>PFC_84068_4_3</t>
  </si>
  <si>
    <t>PFC_84068_5_3</t>
  </si>
  <si>
    <t>PFC_84099_1_3</t>
  </si>
  <si>
    <t>PFC_84099_2_3</t>
  </si>
  <si>
    <t>PFC_84099_3_3</t>
  </si>
  <si>
    <t>PFC_84099_4_3</t>
  </si>
  <si>
    <t>PFC_84112_1_3</t>
  </si>
  <si>
    <t>PFC_84112_2_3</t>
  </si>
  <si>
    <t>PFC_84112_3_3</t>
  </si>
  <si>
    <t>PFC_84112_4_3</t>
  </si>
  <si>
    <t>PFC_84112_5_3</t>
  </si>
  <si>
    <t>PFC_84123_1_3</t>
  </si>
  <si>
    <t>PFC_84123_2_3</t>
  </si>
  <si>
    <t>PFC_84123_3_3</t>
  </si>
  <si>
    <t>PFC_84123_4_3</t>
  </si>
  <si>
    <t>PFC_84123_5_3</t>
  </si>
  <si>
    <t>PFC_83085_9_1</t>
  </si>
  <si>
    <t>I92_5_1_6</t>
  </si>
  <si>
    <t>I92_13_1_5</t>
  </si>
  <si>
    <t>I92_13_2_5</t>
  </si>
  <si>
    <t>I92_13_3_5</t>
  </si>
  <si>
    <t>I92_13_4_5</t>
  </si>
  <si>
    <t>I92_13_5_5</t>
  </si>
  <si>
    <t>I92_13_6_5</t>
  </si>
  <si>
    <t>I92_13_7_5</t>
  </si>
  <si>
    <t>I82_1_1_7</t>
  </si>
  <si>
    <t>I82_1_2_8</t>
  </si>
  <si>
    <t>I82_1_3_7</t>
  </si>
  <si>
    <t>I82_1_4_8</t>
  </si>
  <si>
    <t>I82_1_5_7</t>
  </si>
  <si>
    <t>I82_1_6_8</t>
  </si>
  <si>
    <t>I82_1_7_6</t>
  </si>
  <si>
    <t>I82_1_8_7</t>
  </si>
  <si>
    <t>I82_2_1_6</t>
  </si>
  <si>
    <t>I82_2_2_7</t>
  </si>
  <si>
    <t>I82_2_3_7</t>
  </si>
  <si>
    <t>I82_2_4_5</t>
  </si>
  <si>
    <t>I82_2_5_5</t>
  </si>
  <si>
    <t>I82_6_1_9</t>
  </si>
  <si>
    <t>I82_6_2_9</t>
  </si>
  <si>
    <t>I82_8_1_3</t>
  </si>
  <si>
    <t>I82_8_2_6</t>
  </si>
  <si>
    <t>I82_8_3_7</t>
  </si>
  <si>
    <t>I82_8_4_7</t>
  </si>
  <si>
    <t>I82_8_5_7</t>
  </si>
  <si>
    <t>I82_9_1_6</t>
  </si>
  <si>
    <t>I82_9_2_6</t>
  </si>
  <si>
    <t>I82_9_3_6</t>
  </si>
  <si>
    <t>I82_9_4_7</t>
  </si>
  <si>
    <t>I82_9_5_7</t>
  </si>
  <si>
    <t>I82_13_1_7</t>
  </si>
  <si>
    <t>I82_13_2_7</t>
  </si>
  <si>
    <t>SUC_11_1_6</t>
  </si>
  <si>
    <t>SUC_11_2_6</t>
  </si>
  <si>
    <t>SUC_13_1_5</t>
  </si>
  <si>
    <t>SUC_24_1_6</t>
  </si>
  <si>
    <t>SUC_24_2_6</t>
  </si>
  <si>
    <t>I93_4_3_8</t>
  </si>
  <si>
    <t>I93_5_2_7</t>
  </si>
  <si>
    <t>I93_5_3_8</t>
  </si>
  <si>
    <t>I93_5_5_9</t>
  </si>
  <si>
    <t>I64_3_4_9</t>
  </si>
  <si>
    <t>I64_4_7_9</t>
  </si>
  <si>
    <t>I31_39_1_6</t>
  </si>
  <si>
    <t>I31_39_2_6</t>
  </si>
  <si>
    <t>EDAD</t>
  </si>
  <si>
    <t>CODIGO DE PARCELA</t>
  </si>
  <si>
    <t>INDICE DE SITIO</t>
  </si>
  <si>
    <t>DENSIDAD</t>
  </si>
  <si>
    <t>DIAMETRO OBSERVADO</t>
  </si>
  <si>
    <t>ALTURA DOMINANTE</t>
  </si>
  <si>
    <t>VOLUMEN TOTAL</t>
  </si>
  <si>
    <t xml:space="preserve"> DAP</t>
  </si>
  <si>
    <t xml:space="preserve"> AREA BASAL</t>
  </si>
  <si>
    <t xml:space="preserve"> VOLUMEN TOTAL </t>
  </si>
  <si>
    <t>DAP</t>
  </si>
  <si>
    <t>AREA BASAL</t>
  </si>
  <si>
    <t>EXP(Ln(S) -5.886381 * (1/T - 0.1))</t>
  </si>
  <si>
    <t>Exp(3.041145 -8.076789/T + -0.014162*S -0.000069*N)</t>
  </si>
  <si>
    <t>Exp(2.462079 -17.066455/T + -0.019585*S + 0.00093*N)</t>
  </si>
  <si>
    <t>EXP(Ln(S) -7.657288 * (1/T - 0.1))</t>
  </si>
  <si>
    <t>Exp(3.861522 -7.008542/T + 0.027548*S -0.001144*N)</t>
  </si>
  <si>
    <t>Exp(4.181024 -13.83883/T + 0.051651*S -0.001286*N)</t>
  </si>
  <si>
    <t>Exp(6.72825 -21.067206/T + 0.087027*S -0.002144*N)</t>
  </si>
  <si>
    <t>EXP(Ln(S) -20.378291 * (1/T - 0.1))</t>
  </si>
  <si>
    <t>Exp(4.627246 -11.360686/T + -0.006167*S -0.00133*N)</t>
  </si>
  <si>
    <t>Exp(5.447094 -21.576918/T + -0.015678*S -0.001387*N)</t>
  </si>
  <si>
    <t>Exp(8.352033 -41.928436/T + 0.014195*S -0.00184*N)</t>
  </si>
  <si>
    <t>MEDIA</t>
  </si>
  <si>
    <t>MEDIANA</t>
  </si>
  <si>
    <t>ERROR ESTANDAR</t>
  </si>
  <si>
    <t>VALOR MAX</t>
  </si>
  <si>
    <t>VALOR MIN</t>
  </si>
  <si>
    <t>MODA</t>
  </si>
  <si>
    <t>EXP(Ln(S) -3.638221 * (1/T- 0.1))</t>
  </si>
  <si>
    <t>EXP(2.805506 -2.624873/T + 0.029507*S -0.000251*N)</t>
  </si>
  <si>
    <t>EXP(1.649195 -5.046975/T + 0.054066*S + 0.001012*N)</t>
  </si>
  <si>
    <t>EXP(3.117363 -8.840466/T + 0.107077*S + 0.000951*N)</t>
  </si>
  <si>
    <t>N mediciones</t>
  </si>
  <si>
    <t>ESPECIE</t>
  </si>
  <si>
    <t>ABIEGU</t>
  </si>
  <si>
    <t>ACROFR</t>
  </si>
  <si>
    <t>ALNUJO</t>
  </si>
  <si>
    <t>AZADIN</t>
  </si>
  <si>
    <t>CAESVE</t>
  </si>
  <si>
    <t>CALOBR</t>
  </si>
  <si>
    <t>CASSSI</t>
  </si>
  <si>
    <t>CEDROD</t>
  </si>
  <si>
    <t>CUPRLU</t>
  </si>
  <si>
    <t>ENTECY</t>
  </si>
  <si>
    <t>GMELAR</t>
  </si>
  <si>
    <t>GUAZUL</t>
  </si>
  <si>
    <t>NECTSP</t>
  </si>
  <si>
    <t>PINUCH</t>
  </si>
  <si>
    <t>PINUMI</t>
  </si>
  <si>
    <t>PINUOO</t>
  </si>
  <si>
    <t>PINUPA</t>
  </si>
  <si>
    <t>PINUPS</t>
  </si>
  <si>
    <t>PTERMA</t>
  </si>
  <si>
    <t>SWIEMA</t>
  </si>
  <si>
    <t>TABEDO</t>
  </si>
  <si>
    <t>TABERO</t>
  </si>
  <si>
    <t>TERMOB</t>
  </si>
  <si>
    <t>VOCHGU</t>
  </si>
  <si>
    <t>CASUEQ</t>
  </si>
  <si>
    <t>TECTGR</t>
  </si>
  <si>
    <t>DAP (cm)</t>
  </si>
  <si>
    <t>ALTURA DOMINANTE  (m)</t>
  </si>
  <si>
    <t>EXP(Ln(S) -5.183772 * (1/T - 0.1))</t>
  </si>
  <si>
    <t>Exp(3.479904 -5.100774/T + 0.005329*S -0.000192*N)</t>
  </si>
  <si>
    <t>Exp(2.046634 -13.359966/T + 0.071346*S + 0.001672*N)</t>
  </si>
  <si>
    <t>Exp(5.002828 -19.579749/T + 0.028559*S + 0.001 735*N)</t>
  </si>
  <si>
    <t>EXP(Ln(S) -1.725435 * (1/T - 0.1))</t>
  </si>
  <si>
    <t>Exp(1.567832 -2.675935/T + 0.100498*S + 0.000284*N)</t>
  </si>
  <si>
    <t>Exp(-0.421023 -5.328057/T + 0.199157*S + 0.001581*N)</t>
  </si>
  <si>
    <t>Exp(-0.96776 -7.358693/T + 0.307991*S + 0.002469*N)</t>
  </si>
  <si>
    <t>EXP(Ln(S) -1.872405 * (1/T - 0.1))</t>
  </si>
  <si>
    <t>Exp(1.983661 -2.330208/T + 0.095564*S -0.000385*N)</t>
  </si>
  <si>
    <t>Exp(0.83226 -4.71375/T + 0.189626*S -0.000097*N)</t>
  </si>
  <si>
    <t>Exp(1.278762 -7.15454/T + 0.35243*S -0.000352*N)</t>
  </si>
  <si>
    <t>EXP(Ln(S) -6.116833 * (1/T - 0.1))</t>
  </si>
  <si>
    <t>EXP(1.49521 -1.851407/T + 0.116224*S -0.000438*N)</t>
  </si>
  <si>
    <t>EXP(-0.306671 -4.378177/T + 0.225725*S -0.000003*N)</t>
  </si>
  <si>
    <t>EXP(0.584018 -9.960148/T + 0.294692*S + 0.000274*N)</t>
  </si>
  <si>
    <t>Exp(4.147779 -16.451739/T + -0.039504*S + 0.000229*N)</t>
  </si>
  <si>
    <t>EXP(Ln(S) -4.034014 * (1/T - 0.1))</t>
  </si>
  <si>
    <t>Exp(2.334384 -4.530798/T + 0.145447*S -0.001 743*N)</t>
  </si>
  <si>
    <t>Exp(-0.173934 -9.532625/T + 0.302835*S -0.000013*N)</t>
  </si>
  <si>
    <t>Exp(0.988436 -11.063187/T + 0.417214*S -0.002467*N)</t>
  </si>
  <si>
    <t>EXP(Ln(S) -6.731967 * (1/T - 0.1))</t>
  </si>
  <si>
    <t>Exp(2.707584 -5.677218/T + 0.067381*S -0.000247*N)</t>
  </si>
  <si>
    <t>Exp(2.045355 -10.794574/T + 0.118218*S + 0.00037*N)</t>
  </si>
  <si>
    <t>Exp(3.118363 -17.429548/T + 0.215077*S + 0.000309*N)</t>
  </si>
  <si>
    <t>EXP(Ln(S) -4.624413 * (1/T - 0.1))</t>
  </si>
  <si>
    <t>Exp(2.274322 -6.302477/T + 0.086746*S + 0.000159*N)</t>
  </si>
  <si>
    <t>Exp(1.102299 -12.647657/T + 0.170789*S + 0.001247*N)</t>
  </si>
  <si>
    <t>Exp(2.049391 -18.839421/T + 0.264324*S + 0.001348*N)</t>
  </si>
  <si>
    <t>EXP(Ln(S) -4.589766 * (1/T - 0.1))</t>
  </si>
  <si>
    <t>Exp(2.476769 -3.669808/T + 0.048356*S -0.000258*N)</t>
  </si>
  <si>
    <t>Exp(0.780617 -7.094758/T + 0.092946*S + 0.001186*N)</t>
  </si>
  <si>
    <t>Exp(1.918322 -11.678936/T + 0.160806*S + 0.001068*N)</t>
  </si>
  <si>
    <t>EXP(Ln(S) -0.684405 * (1/T - 0.1))</t>
  </si>
  <si>
    <t>Exp(2.762289 -2.32964/T + 0.014772*S -0.000567*N)</t>
  </si>
  <si>
    <t>Exp(2.143734 -4.666703/T + 0.028075*S -0.000276*N)</t>
  </si>
  <si>
    <t>Exp(1.966696 -6.206873/T + 0.119088*S + 0.000292*N)</t>
  </si>
  <si>
    <t>EXP(Ln(S) -8.798094 * (1/T - 0.1))</t>
  </si>
  <si>
    <t>Exp(3.112788 -6.202454/T + 0.078664*S -0.001055*N)</t>
  </si>
  <si>
    <t>Exp(2.642654 -12.355272/T + 0.1598*S -0.00112*N)</t>
  </si>
  <si>
    <t>Exp(4.313634 -21.102053/T + 0.245205*S -0.001508*N)</t>
  </si>
  <si>
    <t>EXP(Ln(S) -7.458911 * (1/T - 0.1))</t>
  </si>
  <si>
    <t>Exp(2.673197 -5.545766/T + 0.056028*S -0.000142*N)</t>
  </si>
  <si>
    <t>Exp(1.325956 -11.038033/T + 0.091341*S + 0.001634*N)</t>
  </si>
  <si>
    <t>Exp(2.671109 -18.578108/T + 0.1 71615*S + 0.001541*N)</t>
  </si>
  <si>
    <t>EXP(Ln(S) -6.96328 * (1/T - 0.1))</t>
  </si>
  <si>
    <t>Exp(2.853221 -5.94932/T + 0.055943*S -0.000218*N)</t>
  </si>
  <si>
    <t>Exp(1.91575 -11.592777/T + 0.100823*S + 0.000843*N)</t>
  </si>
  <si>
    <t>Exp(3.160695 -18.203956/T + 0.182736*S + 0.000775*N)</t>
  </si>
  <si>
    <t>EXP(Ln(S) -6.498108 * (1/T - 0.1))</t>
  </si>
  <si>
    <t>Exp(2.426552 -6.706013/T + 0.075921*S + 0.00004*N)</t>
  </si>
  <si>
    <t>Exp(1.060976 -13.35596/T + 0.15187*S + 0.001278*N)</t>
  </si>
  <si>
    <t>Exp(2.246512 -20.855741/T + 0.242321*S + 0.001267*N)</t>
  </si>
  <si>
    <t>EXP(Ln(S) -6.921948 * (1/T - 0.1))</t>
  </si>
  <si>
    <t>Exp(1.842624 -7.912709/T + 0.204784*S -0.000193*N)</t>
  </si>
  <si>
    <t>Exp(0.592964 -16.050104/T + 0.399771*S + 0.000318*N)</t>
  </si>
  <si>
    <t>Exp(1.57958 -21.303008/T + 0.507162*S + 0.000117*N)</t>
  </si>
  <si>
    <t>EXP(Ln(S) -11.729867 * (1/T - 0.1))</t>
  </si>
  <si>
    <t>Exp(3.298035 -10.936875/T + 0.065073*S -0.000083*N)</t>
  </si>
  <si>
    <t>Exp(2.367995 -21.373573/T + 0.153433*S + 0.001055*N)</t>
  </si>
  <si>
    <t>Exp(4.039077 -32.749693/T + 0.242141*S + 0.000967*N)</t>
  </si>
  <si>
    <t>EXP(Ln(S) -8.864079 * (1/T - 0.1))</t>
  </si>
  <si>
    <t>Exp(2.533776 -6.885158/T + 0.065936*S -0.000115*N)</t>
  </si>
  <si>
    <t>Exp(1.129202 -14.091632/T + 0.1261 78*S + 0.001344*N)</t>
  </si>
  <si>
    <t>Exp(2.56331 -23.018699/T + 0.214254*S + 0.001243*N)</t>
  </si>
  <si>
    <t>EXP(Ln(S) -10.900122 * (1/T - 0.1))</t>
  </si>
  <si>
    <t>EXP(2.630349 -10.089983/T + 0.075246*S + 0.000075*N)</t>
  </si>
  <si>
    <t>EXP(0.830452 -20.722084/T + 0.164495*S + 0.001994*N)</t>
  </si>
  <si>
    <t>EXP(2.239672 -32.894188/T + 0.260104*S + 0.002181*N)</t>
  </si>
  <si>
    <t>EXP(Ln(S) -3.617786 * (1/T - 0.1))</t>
  </si>
  <si>
    <t>Exp(1.663888 -2.480653/T + 0.089199*S -0.000146*N)</t>
  </si>
  <si>
    <t>Exp(-0.668643 -4.714003/T + 0.181244*S + 0.00101*N)</t>
  </si>
  <si>
    <t>Exp(0.11 7821 -8.184507/T + 0.271737*S + 0.000896*N)</t>
  </si>
  <si>
    <t>EXP(Ln(S) -3.662898 * (1/T - 0.1))</t>
  </si>
  <si>
    <t>Exp(1.320543 -4.009256/T + 0.158326*S -0.000237*N)</t>
  </si>
  <si>
    <t>Exp(-1.422144 -8.124784/T + 0.299527*S + 0.001255*N)</t>
  </si>
  <si>
    <t>Exp(-1.137584 -12.265933/T + 0.4431*S + 0.001109*N)</t>
  </si>
  <si>
    <t>EXP(Ln(S) -3.891677 * (1/T - 0.1))</t>
  </si>
  <si>
    <t>Exp(2.293225 -4.118555/T + 0.052407*S -0.000131*N)</t>
  </si>
  <si>
    <t>Exp(0.613447 -7.899548/T + 0.09739*S + 0.001207*N)</t>
  </si>
  <si>
    <t>Exp(1.605596 -12.336335/T + 0.166684*S + 0.001142*N)</t>
  </si>
  <si>
    <t>EXP(Ln(S) -7.206822 * (1/T - 0.1))</t>
  </si>
  <si>
    <t>Exp(2.537212 -5.780087/T + 0.00923*S + 0.00057*N)</t>
  </si>
  <si>
    <t>Exp(1.203433 -11.5139 72/T + 0.018414*S + 0.00251*N)</t>
  </si>
  <si>
    <t>Exp(3.066308 -19.106921 /T + 0.07381*S + 0.002185*N)</t>
  </si>
  <si>
    <t>EXP(Ln(S) -8.904588 * (1/T - 0.1))</t>
  </si>
  <si>
    <t>Exp(2.769514 -7.431654/T + 0.050203*S -0.000043*N)</t>
  </si>
  <si>
    <t>Exp(1.651327 -15.314681 /T + 0.099127*S + 0.001388*N)</t>
  </si>
  <si>
    <t>Exp(1.140516 -32.901 795/T + 0.275811 *S + 0.003415*N)</t>
  </si>
  <si>
    <t>DONDE:</t>
  </si>
  <si>
    <t>IMA DAP</t>
  </si>
  <si>
    <t>IMA ALTURA DOMINANTE</t>
  </si>
  <si>
    <t>IMA AREA BASAL</t>
  </si>
  <si>
    <t>IMA VOLUMEN TOTAL</t>
  </si>
  <si>
    <t xml:space="preserve">DATOS CRUDOS </t>
  </si>
  <si>
    <t>SIMISA</t>
  </si>
  <si>
    <t>Exp(2.624014 -10.108301/T + 0.030276*S +0.000414*N)</t>
  </si>
  <si>
    <t>EXP(Ln(S) -7.563575 * (1/T - 0.1))</t>
  </si>
  <si>
    <t>Exp(1.609769 -20.178575/T + 0.060325*S +0.001922*N)</t>
  </si>
  <si>
    <t>Exp(5.394304 -23.23099/T + 0.128387*S -0.001331*N)</t>
  </si>
  <si>
    <t>TERMBU</t>
  </si>
  <si>
    <t>Exp(3.257189 -3.956527/T + -0.009321*S + 0*N)</t>
  </si>
  <si>
    <t>EXP(Ln(S) -1.741207 * (1/T - 0.1))</t>
  </si>
  <si>
    <t>Exp(3.695791 -7.913055/T + -0.018641*S + 0*N)</t>
  </si>
  <si>
    <t>Exp(4.588308 -10.377622/T + 0.049617*S + 0*N)</t>
  </si>
  <si>
    <t>INTERVALO DE CONFIANZA</t>
  </si>
  <si>
    <t>CALORB</t>
  </si>
  <si>
    <t>CASSSI-SENNGU</t>
  </si>
  <si>
    <t>INTERVALO DE CONFIANZA (95%)</t>
  </si>
  <si>
    <t xml:space="preserve">VARIANZA DE LA MUESTRA </t>
  </si>
  <si>
    <t>VARIANZA DE LA MUESTRA</t>
  </si>
  <si>
    <t>https://support.office.com/es-es/article/Funci%C3%B3n-INTERVALO-CONFIANZA-75ccc007-f77c-4343-bc14-673642091ad6</t>
  </si>
  <si>
    <t>NOMBRE</t>
  </si>
  <si>
    <t>ESPECIES</t>
  </si>
  <si>
    <t>Abies guatemalensis Rehder</t>
  </si>
  <si>
    <t>Acrocarpus fraxinifolius Wight &amp;Arn</t>
  </si>
  <si>
    <t>Alnus jorullensis Kunth</t>
  </si>
  <si>
    <t>Azadirachta indica A. Juss</t>
  </si>
  <si>
    <t>Caesalpinia velutina (Britton&amp; Rose) Standl</t>
  </si>
  <si>
    <t>Calophyllum brasiliense Cambess</t>
  </si>
  <si>
    <t>Cassia guatemalensis</t>
  </si>
  <si>
    <t>Casuarina equisetifolia</t>
  </si>
  <si>
    <t>Cedrela odorata</t>
  </si>
  <si>
    <t>Cupressus lusitanica Mill</t>
  </si>
  <si>
    <t>Enterolobium cyclocarpum (Jacq.) Griseb</t>
  </si>
  <si>
    <t>Gmelina arbórea Roxb. ex. Sm</t>
  </si>
  <si>
    <t>Guazuma ulmifolia Lam</t>
  </si>
  <si>
    <t>Nectandra sp.</t>
  </si>
  <si>
    <t>Pinus caribaea var. hondurensis</t>
  </si>
  <si>
    <t>Pinus maximinoi</t>
  </si>
  <si>
    <t>Pinus oocarpa</t>
  </si>
  <si>
    <t>Pinus patula</t>
  </si>
  <si>
    <t>Pinus pseudostrobus</t>
  </si>
  <si>
    <t>Pterocarpus m a c ro ca rp u s</t>
  </si>
  <si>
    <t>Simira salvadorensis</t>
  </si>
  <si>
    <t>Swietenia macrophylla</t>
  </si>
  <si>
    <t>Tabebuia donnell-smithii Rose</t>
  </si>
  <si>
    <t>Tabebuia rosea</t>
  </si>
  <si>
    <t>Tectona granáis</t>
  </si>
  <si>
    <t>Terminalia buceras</t>
  </si>
  <si>
    <t>Terminalia oblonga</t>
  </si>
  <si>
    <t>Vochysia guatemalensis</t>
  </si>
  <si>
    <t>ACRÓNIMOS</t>
  </si>
  <si>
    <t>CALCULO DE VARIABLES DE CRECIMIENTO</t>
  </si>
  <si>
    <t>CALCULO DE IMAS POR PARCELA</t>
  </si>
  <si>
    <t>ESTADÍSTICAS PARA BOSQUES DE CONIFERAS</t>
  </si>
  <si>
    <t xml:space="preserve">ESTADÍSTICAS PARA BOSQUES DE LATIFOLIADAS </t>
  </si>
  <si>
    <t>DATOS DE ULTIMAS MEDICIONES POR PARCELA PARA LAS ESPECIES PERTENECIENTES AL GRUPO ARBOREO DE CONIFERAS</t>
  </si>
  <si>
    <t xml:space="preserve">CÁLCULO DE VARIABLES DE CRECIMIENTO </t>
  </si>
  <si>
    <r>
      <t>AREA BASAL (m</t>
    </r>
    <r>
      <rPr>
        <vertAlign val="superscript"/>
        <sz val="14"/>
        <color theme="0"/>
        <rFont val="Calibri"/>
        <family val="2"/>
        <scheme val="minor"/>
      </rPr>
      <t>2</t>
    </r>
    <r>
      <rPr>
        <sz val="14"/>
        <color theme="0"/>
        <rFont val="Calibri"/>
        <family val="2"/>
        <scheme val="minor"/>
      </rPr>
      <t>/ha)</t>
    </r>
  </si>
  <si>
    <r>
      <t>VOLUMEN TOTAL (m</t>
    </r>
    <r>
      <rPr>
        <vertAlign val="superscript"/>
        <sz val="14"/>
        <color theme="0"/>
        <rFont val="Calibri"/>
        <family val="2"/>
        <scheme val="minor"/>
      </rPr>
      <t>3</t>
    </r>
    <r>
      <rPr>
        <sz val="14"/>
        <color theme="0"/>
        <rFont val="Calibri"/>
        <family val="2"/>
        <scheme val="minor"/>
      </rPr>
      <t>/ha)</t>
    </r>
  </si>
  <si>
    <r>
      <t>VARIACIÓN (r</t>
    </r>
    <r>
      <rPr>
        <vertAlign val="superscript"/>
        <sz val="14"/>
        <color theme="0"/>
        <rFont val="Calibri"/>
        <family val="2"/>
        <scheme val="minor"/>
      </rPr>
      <t>2)</t>
    </r>
  </si>
  <si>
    <t xml:space="preserve">Formulas por especie arbórea  para cada variable de crecimiento y Porcentaje de Variación.  </t>
  </si>
  <si>
    <t>Fuente: Dinámica de Crecimiento y productividad de 28 especies en Plantanciones Forestales de Guatemala. Dirección de Desarrollo Forestal. INAB 2015. http://www.inab.gob.gt/Documentos/Investigacion/PPM/Din%C3%A1mica%20de%20Crecimiento%20y%20Productividad%20de%2028%20Especies%20en%20Plantaciones-VF.pdf</t>
  </si>
  <si>
    <t xml:space="preserve">T=edad de la plantación </t>
  </si>
  <si>
    <t xml:space="preserve">S= indice de sitio de la plantación </t>
  </si>
  <si>
    <t>N= cantidad de árboles por hectárea</t>
  </si>
  <si>
    <t>Donde codigo de parcela:</t>
  </si>
  <si>
    <t>I74</t>
  </si>
  <si>
    <t>_4_</t>
  </si>
  <si>
    <t>_1_</t>
  </si>
  <si>
    <t>_9</t>
  </si>
  <si>
    <t>DENSIDAD MEDIA PARA BOSQUE CONIFERAS</t>
  </si>
  <si>
    <t xml:space="preserve">No. </t>
  </si>
  <si>
    <t>CANTIDAD DE ESPECIES ANALIZADAS</t>
  </si>
  <si>
    <r>
      <t>DENSIDAD MEDIA        gr/cm</t>
    </r>
    <r>
      <rPr>
        <b/>
        <vertAlign val="superscript"/>
        <sz val="11"/>
        <color rgb="FF000000"/>
        <rFont val="Calibri"/>
        <family val="2"/>
        <scheme val="minor"/>
      </rPr>
      <t>3</t>
    </r>
  </si>
  <si>
    <t>TABLA DE DENSIDADES POR ESPECIE PARA BOSQUE DE CONIFERAS</t>
  </si>
  <si>
    <t>DENSIDAD gr/cm3</t>
  </si>
  <si>
    <t>FUENTES DE INFORMACION</t>
  </si>
  <si>
    <t>Abies guatemalensis</t>
  </si>
  <si>
    <t>Libro digital "Coniferas de Guatemala"  Base de datos Forestales DATAGORG</t>
  </si>
  <si>
    <t>Wood Densities of Tropical Tree Species (1992)</t>
  </si>
  <si>
    <t>Pinus caribaea var. Hondurensis</t>
  </si>
  <si>
    <t>Pinus maximinoi H. E. Moore</t>
  </si>
  <si>
    <t>Pinus oocarpa Schiede ex Schltdl</t>
  </si>
  <si>
    <t>Pinus patula Schltdl</t>
  </si>
  <si>
    <t>wood Densities of Tropical Tree Species (1992)</t>
  </si>
  <si>
    <t>Pinus pseudostrobus Lindl</t>
  </si>
  <si>
    <t>Pinus ayacahuite</t>
  </si>
  <si>
    <t>Pinus montezumae</t>
  </si>
  <si>
    <t>Pinus rudis Endicher</t>
  </si>
  <si>
    <t>Pinus strobus</t>
  </si>
  <si>
    <t>Pinus tecununanii</t>
  </si>
  <si>
    <t>Pinus tenuifolia</t>
  </si>
  <si>
    <t>Podacarpus oleifolius</t>
  </si>
  <si>
    <t>Podacarpus guatemalensis</t>
  </si>
  <si>
    <t>Taxodium mucronatum</t>
  </si>
  <si>
    <t>Densidad media de madera para CONIFERAS</t>
  </si>
  <si>
    <t>MEDIA ESTADISTICA</t>
  </si>
  <si>
    <t>DENSIDAD MEDIA PARA BOSQUE LATIFOLIADO</t>
  </si>
  <si>
    <t>No.</t>
  </si>
  <si>
    <t xml:space="preserve">CANTIDAD DE ESPECIES ANALIZADAS </t>
  </si>
  <si>
    <r>
      <t>DENSIDAD MEDIA         gr/cm</t>
    </r>
    <r>
      <rPr>
        <b/>
        <vertAlign val="superscript"/>
        <sz val="11"/>
        <color rgb="FF000000"/>
        <rFont val="Calibri"/>
        <family val="2"/>
        <scheme val="minor"/>
      </rPr>
      <t>3</t>
    </r>
  </si>
  <si>
    <t>TABLA DE DENSIDADES POR ESPECIE PARA BOSQUE LATIFOLIADO</t>
  </si>
  <si>
    <r>
      <t>DENSIDAD gr/cm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</si>
  <si>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Alnus Jorullensis Kunth</t>
  </si>
  <si>
    <t>Azadirachta indica</t>
  </si>
  <si>
    <t>Caesalpinia velutina</t>
  </si>
  <si>
    <t>Calophyllum brasiliense cambess</t>
  </si>
  <si>
    <t>Enterolobium cyclocarpum</t>
  </si>
  <si>
    <t>Gmelina arbórea Roxb</t>
  </si>
  <si>
    <t>Nectandra globosa</t>
  </si>
  <si>
    <t>Pterocarpus officinalis</t>
  </si>
  <si>
    <t>Tabebuia donnell smithii Rose</t>
  </si>
  <si>
    <t>Tectona grandis</t>
  </si>
  <si>
    <t>Terminalia guamensis</t>
  </si>
  <si>
    <t>Vochysia guatemalensis Donn</t>
  </si>
  <si>
    <t>Brosimum alicastrum</t>
  </si>
  <si>
    <t>Terminalia amazonia</t>
  </si>
  <si>
    <t>Lonchocarpus castillo</t>
  </si>
  <si>
    <t>Bucida buceras</t>
  </si>
  <si>
    <t>Carapa guianensis</t>
  </si>
  <si>
    <t>Astronium graveolens</t>
  </si>
  <si>
    <t>Vatairea lundelli</t>
  </si>
  <si>
    <t>Aspidosperma megalocarpum</t>
  </si>
  <si>
    <t>Dalbergia retusa</t>
  </si>
  <si>
    <t>Dalbergia stevensonii</t>
  </si>
  <si>
    <t>Ceiba pentandra</t>
  </si>
  <si>
    <t>Spondias mombim</t>
  </si>
  <si>
    <t>Platymiscium dimorphandrum</t>
  </si>
  <si>
    <t>Pouteria amygdaliana</t>
  </si>
  <si>
    <t>Quercus</t>
  </si>
  <si>
    <t>Persea donnell smithii</t>
  </si>
  <si>
    <t>Persea schiedeana</t>
  </si>
  <si>
    <t>Magnolia guatemalensis</t>
  </si>
  <si>
    <t>Densidad media de madera para LATIFOLIADAS</t>
  </si>
  <si>
    <t>Número de parcela</t>
  </si>
  <si>
    <t>Código de departamento</t>
  </si>
  <si>
    <t>Número de subparcela</t>
  </si>
  <si>
    <t>Número de mediciones</t>
  </si>
  <si>
    <t>CÁLCULO DE IMAS POR PARCELA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</si>
</sst>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vertAlign val="superscript"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perscript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2" borderId="0" xfId="0" applyFill="1"/>
    <xf numFmtId="0" fontId="0" fillId="0" borderId="0" xfId="0"/>
    <xf numFmtId="0" fontId="0" fillId="0" borderId="10" xfId="0" applyBorder="1"/>
    <xf numFmtId="0" fontId="0" fillId="0" borderId="0" xfId="0" applyAlignment="1">
      <alignment horizontal="center" wrapText="1"/>
    </xf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0" xfId="0" applyFill="1" applyBorder="1"/>
    <xf numFmtId="0" fontId="2" fillId="0" borderId="17" xfId="0" applyFont="1" applyBorder="1"/>
    <xf numFmtId="2" fontId="0" fillId="0" borderId="18" xfId="0" applyNumberFormat="1" applyBorder="1" applyAlignment="1">
      <alignment horizontal="center"/>
    </xf>
    <xf numFmtId="0" fontId="2" fillId="0" borderId="2" xfId="0" applyFont="1" applyFill="1" applyBorder="1"/>
    <xf numFmtId="0" fontId="0" fillId="0" borderId="3" xfId="0" applyBorder="1"/>
    <xf numFmtId="0" fontId="0" fillId="0" borderId="4" xfId="0" applyBorder="1"/>
    <xf numFmtId="0" fontId="2" fillId="0" borderId="6" xfId="0" applyFont="1" applyFill="1" applyBorder="1"/>
    <xf numFmtId="2" fontId="0" fillId="0" borderId="7" xfId="0" applyNumberFormat="1" applyBorder="1" applyAlignment="1">
      <alignment horizontal="center"/>
    </xf>
    <xf numFmtId="0" fontId="0" fillId="0" borderId="2" xfId="0" applyBorder="1"/>
    <xf numFmtId="0" fontId="0" fillId="0" borderId="7" xfId="0" applyBorder="1"/>
    <xf numFmtId="0" fontId="0" fillId="0" borderId="19" xfId="0" applyBorder="1"/>
    <xf numFmtId="0" fontId="0" fillId="2" borderId="6" xfId="0" applyFill="1" applyBorder="1"/>
    <xf numFmtId="0" fontId="0" fillId="2" borderId="0" xfId="0" applyFill="1" applyBorder="1" applyAlignment="1">
      <alignment horizontal="center" wrapText="1"/>
    </xf>
    <xf numFmtId="0" fontId="0" fillId="2" borderId="5" xfId="0" applyFill="1" applyBorder="1"/>
    <xf numFmtId="0" fontId="4" fillId="0" borderId="0" xfId="0" applyFont="1"/>
    <xf numFmtId="0" fontId="0" fillId="5" borderId="16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Fill="1"/>
    <xf numFmtId="0" fontId="0" fillId="0" borderId="10" xfId="0" applyFill="1" applyBorder="1"/>
    <xf numFmtId="0" fontId="0" fillId="0" borderId="1" xfId="0" applyFill="1" applyBorder="1"/>
    <xf numFmtId="0" fontId="0" fillId="0" borderId="5" xfId="0" applyFill="1" applyBorder="1"/>
    <xf numFmtId="0" fontId="0" fillId="5" borderId="28" xfId="0" applyFill="1" applyBorder="1" applyAlignment="1">
      <alignment horizontal="center" wrapText="1"/>
    </xf>
    <xf numFmtId="0" fontId="0" fillId="5" borderId="34" xfId="0" applyFill="1" applyBorder="1" applyAlignment="1">
      <alignment horizontal="center" wrapText="1"/>
    </xf>
    <xf numFmtId="0" fontId="0" fillId="0" borderId="6" xfId="0" applyFill="1" applyBorder="1"/>
    <xf numFmtId="2" fontId="0" fillId="2" borderId="1" xfId="4" applyNumberFormat="1" applyFont="1" applyFill="1" applyBorder="1" applyAlignment="1">
      <alignment horizontal="center"/>
    </xf>
    <xf numFmtId="2" fontId="1" fillId="2" borderId="1" xfId="4" applyNumberFormat="1" applyFill="1" applyBorder="1" applyAlignment="1">
      <alignment horizontal="center"/>
    </xf>
    <xf numFmtId="2" fontId="0" fillId="2" borderId="10" xfId="4" applyNumberFormat="1" applyFont="1" applyFill="1" applyBorder="1" applyAlignment="1">
      <alignment horizontal="center"/>
    </xf>
    <xf numFmtId="2" fontId="1" fillId="2" borderId="5" xfId="4" applyNumberFormat="1" applyFill="1" applyBorder="1" applyAlignment="1">
      <alignment horizontal="center"/>
    </xf>
    <xf numFmtId="0" fontId="5" fillId="6" borderId="20" xfId="3" applyFont="1" applyFill="1" applyBorder="1"/>
    <xf numFmtId="2" fontId="7" fillId="5" borderId="10" xfId="4" applyNumberFormat="1" applyFont="1" applyFill="1" applyBorder="1" applyAlignment="1">
      <alignment horizontal="center"/>
    </xf>
    <xf numFmtId="2" fontId="7" fillId="5" borderId="21" xfId="4" applyNumberFormat="1" applyFont="1" applyFill="1" applyBorder="1" applyAlignment="1">
      <alignment horizontal="center"/>
    </xf>
    <xf numFmtId="2" fontId="7" fillId="5" borderId="5" xfId="4" applyNumberFormat="1" applyFont="1" applyFill="1" applyBorder="1" applyAlignment="1">
      <alignment horizontal="center"/>
    </xf>
    <xf numFmtId="2" fontId="7" fillId="5" borderId="6" xfId="4" applyNumberFormat="1" applyFont="1" applyFill="1" applyBorder="1" applyAlignment="1">
      <alignment horizontal="center"/>
    </xf>
    <xf numFmtId="2" fontId="7" fillId="5" borderId="22" xfId="4" applyNumberFormat="1" applyFont="1" applyFill="1" applyBorder="1" applyAlignment="1">
      <alignment horizontal="center"/>
    </xf>
    <xf numFmtId="2" fontId="7" fillId="5" borderId="19" xfId="4" applyNumberFormat="1" applyFont="1" applyFill="1" applyBorder="1" applyAlignment="1">
      <alignment horizontal="center"/>
    </xf>
    <xf numFmtId="0" fontId="3" fillId="6" borderId="35" xfId="3" applyFill="1" applyBorder="1" applyAlignment="1">
      <alignment horizontal="center" wrapText="1"/>
    </xf>
    <xf numFmtId="0" fontId="5" fillId="6" borderId="38" xfId="3" applyFont="1" applyFill="1" applyBorder="1"/>
    <xf numFmtId="2" fontId="7" fillId="5" borderId="32" xfId="4" applyNumberFormat="1" applyFont="1" applyFill="1" applyBorder="1" applyAlignment="1">
      <alignment horizontal="center"/>
    </xf>
    <xf numFmtId="2" fontId="7" fillId="5" borderId="31" xfId="4" applyNumberFormat="1" applyFont="1" applyFill="1" applyBorder="1" applyAlignment="1">
      <alignment horizontal="center"/>
    </xf>
    <xf numFmtId="2" fontId="7" fillId="5" borderId="33" xfId="4" applyNumberFormat="1" applyFont="1" applyFill="1" applyBorder="1" applyAlignment="1">
      <alignment horizontal="center"/>
    </xf>
    <xf numFmtId="0" fontId="5" fillId="6" borderId="27" xfId="3" applyFont="1" applyFill="1" applyBorder="1" applyAlignment="1">
      <alignment horizontal="center"/>
    </xf>
    <xf numFmtId="0" fontId="5" fillId="6" borderId="29" xfId="3" applyFont="1" applyFill="1" applyBorder="1" applyAlignment="1">
      <alignment horizontal="center" wrapText="1"/>
    </xf>
    <xf numFmtId="0" fontId="5" fillId="6" borderId="9" xfId="3" applyFont="1" applyFill="1" applyBorder="1" applyAlignment="1">
      <alignment horizontal="center" wrapText="1"/>
    </xf>
    <xf numFmtId="0" fontId="5" fillId="6" borderId="30" xfId="3" applyFont="1" applyFill="1" applyBorder="1" applyAlignment="1">
      <alignment horizontal="center" wrapText="1"/>
    </xf>
    <xf numFmtId="2" fontId="8" fillId="7" borderId="0" xfId="4" applyNumberFormat="1" applyFont="1" applyFill="1" applyBorder="1" applyAlignment="1">
      <alignment horizontal="center"/>
    </xf>
    <xf numFmtId="0" fontId="12" fillId="8" borderId="24" xfId="0" applyFont="1" applyFill="1" applyBorder="1" applyAlignment="1">
      <alignment horizontal="center" vertical="center"/>
    </xf>
    <xf numFmtId="0" fontId="12" fillId="8" borderId="39" xfId="0" applyFont="1" applyFill="1" applyBorder="1" applyAlignment="1">
      <alignment horizontal="center" vertical="center" wrapText="1"/>
    </xf>
    <xf numFmtId="0" fontId="12" fillId="8" borderId="26" xfId="0" applyFont="1" applyFill="1" applyBorder="1" applyAlignment="1">
      <alignment horizontal="center" vertical="center" wrapText="1"/>
    </xf>
    <xf numFmtId="0" fontId="12" fillId="8" borderId="39" xfId="0" applyFont="1" applyFill="1" applyBorder="1" applyAlignment="1">
      <alignment horizontal="center" vertical="center"/>
    </xf>
    <xf numFmtId="0" fontId="12" fillId="8" borderId="40" xfId="0" applyFont="1" applyFill="1" applyBorder="1" applyAlignment="1">
      <alignment horizontal="center" vertical="center" wrapText="1"/>
    </xf>
    <xf numFmtId="0" fontId="12" fillId="8" borderId="41" xfId="0" applyFont="1" applyFill="1" applyBorder="1" applyAlignment="1">
      <alignment horizontal="center" vertical="center" wrapText="1"/>
    </xf>
    <xf numFmtId="0" fontId="2" fillId="0" borderId="0" xfId="0" applyFont="1"/>
    <xf numFmtId="0" fontId="2" fillId="5" borderId="24" xfId="0" applyFont="1" applyFill="1" applyBorder="1" applyAlignment="1">
      <alignment horizontal="center"/>
    </xf>
    <xf numFmtId="0" fontId="2" fillId="5" borderId="39" xfId="0" applyFont="1" applyFill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42" xfId="0" applyFont="1" applyFill="1" applyBorder="1" applyAlignment="1">
      <alignment horizontal="center" vertical="center" wrapText="1"/>
    </xf>
    <xf numFmtId="2" fontId="2" fillId="5" borderId="42" xfId="0" applyNumberFormat="1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43" xfId="0" applyFont="1" applyFill="1" applyBorder="1" applyAlignment="1">
      <alignment horizontal="center" vertical="center" wrapText="1"/>
    </xf>
    <xf numFmtId="0" fontId="0" fillId="7" borderId="6" xfId="0" applyFill="1" applyBorder="1"/>
    <xf numFmtId="0" fontId="2" fillId="7" borderId="44" xfId="0" applyFont="1" applyFill="1" applyBorder="1" applyAlignment="1">
      <alignment horizontal="center" vertical="center" wrapText="1"/>
    </xf>
    <xf numFmtId="2" fontId="10" fillId="7" borderId="44" xfId="0" applyNumberFormat="1" applyFont="1" applyFill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 wrapText="1"/>
    </xf>
    <xf numFmtId="0" fontId="12" fillId="9" borderId="39" xfId="0" applyFont="1" applyFill="1" applyBorder="1" applyAlignment="1">
      <alignment horizontal="center" vertical="center"/>
    </xf>
    <xf numFmtId="0" fontId="12" fillId="9" borderId="4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9" borderId="46" xfId="0" applyFont="1" applyFill="1" applyBorder="1" applyAlignment="1">
      <alignment horizontal="center" vertical="center"/>
    </xf>
    <xf numFmtId="0" fontId="12" fillId="9" borderId="40" xfId="0" applyFont="1" applyFill="1" applyBorder="1" applyAlignment="1">
      <alignment horizontal="center" vertical="center" wrapText="1"/>
    </xf>
    <xf numFmtId="2" fontId="12" fillId="9" borderId="40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 wrapText="1"/>
    </xf>
    <xf numFmtId="2" fontId="2" fillId="10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0" fontId="2" fillId="7" borderId="1" xfId="0" applyFont="1" applyFill="1" applyBorder="1" applyAlignment="1">
      <alignment horizontal="center" vertical="center" wrapText="1"/>
    </xf>
    <xf numFmtId="2" fontId="4" fillId="7" borderId="1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0" fillId="11" borderId="29" xfId="0" applyFill="1" applyBorder="1" applyAlignment="1">
      <alignment horizontal="left" vertical="center" wrapText="1"/>
    </xf>
    <xf numFmtId="0" fontId="0" fillId="11" borderId="8" xfId="0" applyFill="1" applyBorder="1" applyAlignment="1">
      <alignment horizontal="left" vertical="center" wrapText="1"/>
    </xf>
    <xf numFmtId="0" fontId="0" fillId="11" borderId="9" xfId="0" applyFill="1" applyBorder="1" applyAlignment="1">
      <alignment horizontal="left" vertical="center" wrapText="1"/>
    </xf>
    <xf numFmtId="2" fontId="0" fillId="0" borderId="0" xfId="0" applyNumberFormat="1" applyBorder="1" applyAlignment="1">
      <alignment horizontal="center"/>
    </xf>
    <xf numFmtId="2" fontId="1" fillId="2" borderId="10" xfId="4" applyNumberFormat="1" applyFill="1" applyBorder="1" applyAlignment="1">
      <alignment horizontal="center"/>
    </xf>
    <xf numFmtId="2" fontId="0" fillId="2" borderId="5" xfId="4" applyNumberFormat="1" applyFon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2" borderId="10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10" xfId="0" applyNumberForma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5" borderId="39" xfId="0" applyFill="1" applyBorder="1" applyAlignment="1">
      <alignment horizontal="center" wrapText="1"/>
    </xf>
    <xf numFmtId="0" fontId="0" fillId="5" borderId="39" xfId="0" applyFill="1" applyBorder="1" applyAlignment="1">
      <alignment horizontal="center" vertical="center" wrapText="1"/>
    </xf>
    <xf numFmtId="0" fontId="9" fillId="6" borderId="24" xfId="3" applyFont="1" applyFill="1" applyBorder="1" applyAlignment="1">
      <alignment horizontal="center"/>
    </xf>
    <xf numFmtId="0" fontId="9" fillId="6" borderId="25" xfId="3" applyFont="1" applyFill="1" applyBorder="1" applyAlignment="1">
      <alignment horizontal="center"/>
    </xf>
    <xf numFmtId="0" fontId="9" fillId="6" borderId="26" xfId="3" applyFont="1" applyFill="1" applyBorder="1" applyAlignment="1">
      <alignment horizontal="center"/>
    </xf>
    <xf numFmtId="0" fontId="5" fillId="6" borderId="24" xfId="3" applyFont="1" applyFill="1" applyBorder="1" applyAlignment="1">
      <alignment horizontal="center"/>
    </xf>
    <xf numFmtId="0" fontId="5" fillId="6" borderId="26" xfId="3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5" borderId="16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5" borderId="35" xfId="0" applyFill="1" applyBorder="1" applyAlignment="1">
      <alignment horizontal="center" vertical="center" wrapText="1"/>
    </xf>
    <xf numFmtId="0" fontId="0" fillId="5" borderId="3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2" fontId="2" fillId="10" borderId="1" xfId="0" applyNumberFormat="1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wrapText="1"/>
    </xf>
    <xf numFmtId="0" fontId="2" fillId="10" borderId="42" xfId="0" applyFont="1" applyFill="1" applyBorder="1" applyAlignment="1">
      <alignment horizontal="center" wrapText="1"/>
    </xf>
  </cellXfs>
  <cellStyles count="5">
    <cellStyle name="40% - Énfasis3" xfId="4" builtinId="39"/>
    <cellStyle name="Énfasis2" xfId="3" builtinId="33"/>
    <cellStyle name="Millares 4" xfId="2"/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K38"/>
  <sheetViews>
    <sheetView zoomScale="70" zoomScaleNormal="70" workbookViewId="0">
      <selection activeCell="F35" sqref="F35"/>
    </sheetView>
  </sheetViews>
  <sheetFormatPr baseColWidth="10" defaultRowHeight="15" x14ac:dyDescent="0.25"/>
  <cols>
    <col min="2" max="2" width="19.5703125" style="7" customWidth="1"/>
    <col min="3" max="3" width="36.28515625" customWidth="1"/>
    <col min="4" max="4" width="65.7109375" customWidth="1"/>
    <col min="5" max="5" width="17.42578125" style="7" customWidth="1"/>
    <col min="6" max="6" width="40.42578125" bestFit="1" customWidth="1"/>
    <col min="7" max="7" width="19.42578125" style="7" customWidth="1"/>
    <col min="8" max="8" width="67.28515625" bestFit="1" customWidth="1"/>
    <col min="9" max="9" width="17.28515625" style="7" customWidth="1"/>
    <col min="10" max="10" width="68" bestFit="1" customWidth="1"/>
    <col min="11" max="11" width="18.5703125" customWidth="1"/>
  </cols>
  <sheetData>
    <row r="2" spans="2:11" ht="15.75" thickBot="1" x14ac:dyDescent="0.3"/>
    <row r="3" spans="2:11" ht="21.75" thickBot="1" x14ac:dyDescent="0.4">
      <c r="B3" s="135" t="s">
        <v>1198</v>
      </c>
      <c r="C3" s="136"/>
      <c r="D3" s="132" t="s">
        <v>1237</v>
      </c>
      <c r="E3" s="133"/>
      <c r="F3" s="133"/>
      <c r="G3" s="133"/>
      <c r="H3" s="133"/>
      <c r="I3" s="133"/>
      <c r="J3" s="134"/>
      <c r="K3" s="58"/>
    </row>
    <row r="4" spans="2:11" ht="25.5" customHeight="1" thickBot="1" x14ac:dyDescent="0.35">
      <c r="B4" s="63" t="s">
        <v>1227</v>
      </c>
      <c r="C4" s="63" t="s">
        <v>1197</v>
      </c>
      <c r="D4" s="64" t="s">
        <v>1083</v>
      </c>
      <c r="E4" s="65" t="s">
        <v>1236</v>
      </c>
      <c r="F4" s="66" t="s">
        <v>1084</v>
      </c>
      <c r="G4" s="65" t="s">
        <v>1236</v>
      </c>
      <c r="H4" s="64" t="s">
        <v>1234</v>
      </c>
      <c r="I4" s="65" t="s">
        <v>1236</v>
      </c>
      <c r="J4" s="64" t="s">
        <v>1235</v>
      </c>
      <c r="K4" s="65" t="s">
        <v>1236</v>
      </c>
    </row>
    <row r="5" spans="2:11" ht="18.75" x14ac:dyDescent="0.3">
      <c r="B5" s="59" t="s">
        <v>1057</v>
      </c>
      <c r="C5" s="59" t="s">
        <v>1199</v>
      </c>
      <c r="D5" s="60" t="s">
        <v>1042</v>
      </c>
      <c r="E5" s="61">
        <v>0.65</v>
      </c>
      <c r="F5" s="60" t="s">
        <v>1041</v>
      </c>
      <c r="G5" s="61">
        <v>0.79</v>
      </c>
      <c r="H5" s="60" t="s">
        <v>1043</v>
      </c>
      <c r="I5" s="61">
        <v>0.57999999999999996</v>
      </c>
      <c r="J5" s="60" t="s">
        <v>1044</v>
      </c>
      <c r="K5" s="62">
        <v>0.81</v>
      </c>
    </row>
    <row r="6" spans="2:11" ht="18.75" x14ac:dyDescent="0.3">
      <c r="B6" s="51" t="s">
        <v>1058</v>
      </c>
      <c r="C6" s="51" t="s">
        <v>1200</v>
      </c>
      <c r="D6" s="52" t="s">
        <v>1052</v>
      </c>
      <c r="E6" s="53">
        <v>0.77</v>
      </c>
      <c r="F6" s="52" t="s">
        <v>1051</v>
      </c>
      <c r="G6" s="53">
        <v>0.77</v>
      </c>
      <c r="H6" s="52" t="s">
        <v>1053</v>
      </c>
      <c r="I6" s="53">
        <v>0.24</v>
      </c>
      <c r="J6" s="52" t="s">
        <v>1054</v>
      </c>
      <c r="K6" s="54">
        <v>0.28999999999999998</v>
      </c>
    </row>
    <row r="7" spans="2:11" ht="18.75" x14ac:dyDescent="0.3">
      <c r="B7" s="51" t="s">
        <v>1059</v>
      </c>
      <c r="C7" s="51" t="s">
        <v>1201</v>
      </c>
      <c r="D7" s="52" t="s">
        <v>1086</v>
      </c>
      <c r="E7" s="53">
        <v>1</v>
      </c>
      <c r="F7" s="52" t="s">
        <v>1085</v>
      </c>
      <c r="G7" s="53">
        <v>0.99</v>
      </c>
      <c r="H7" s="52" t="s">
        <v>1087</v>
      </c>
      <c r="I7" s="53">
        <v>0.92</v>
      </c>
      <c r="J7" s="52" t="s">
        <v>1088</v>
      </c>
      <c r="K7" s="54">
        <v>0.98</v>
      </c>
    </row>
    <row r="8" spans="2:11" ht="18.75" x14ac:dyDescent="0.3">
      <c r="B8" s="51" t="s">
        <v>1060</v>
      </c>
      <c r="C8" s="51" t="s">
        <v>1202</v>
      </c>
      <c r="D8" s="52" t="s">
        <v>1090</v>
      </c>
      <c r="E8" s="53">
        <v>0.94</v>
      </c>
      <c r="F8" s="52" t="s">
        <v>1089</v>
      </c>
      <c r="G8" s="53">
        <v>0.04</v>
      </c>
      <c r="H8" s="52" t="s">
        <v>1091</v>
      </c>
      <c r="I8" s="53">
        <v>0.95</v>
      </c>
      <c r="J8" s="52" t="s">
        <v>1092</v>
      </c>
      <c r="K8" s="54">
        <v>0.97</v>
      </c>
    </row>
    <row r="9" spans="2:11" ht="18.75" x14ac:dyDescent="0.3">
      <c r="B9" s="51" t="s">
        <v>1061</v>
      </c>
      <c r="C9" s="51" t="s">
        <v>1203</v>
      </c>
      <c r="D9" s="52" t="s">
        <v>1094</v>
      </c>
      <c r="E9" s="53">
        <v>0.93</v>
      </c>
      <c r="F9" s="52" t="s">
        <v>1093</v>
      </c>
      <c r="G9" s="53">
        <v>0.39</v>
      </c>
      <c r="H9" s="52" t="s">
        <v>1095</v>
      </c>
      <c r="I9" s="53">
        <v>0.92</v>
      </c>
      <c r="J9" s="52" t="s">
        <v>1096</v>
      </c>
      <c r="K9" s="54">
        <v>0.94</v>
      </c>
    </row>
    <row r="10" spans="2:11" ht="18.75" x14ac:dyDescent="0.3">
      <c r="B10" s="51" t="s">
        <v>1062</v>
      </c>
      <c r="C10" s="51" t="s">
        <v>1204</v>
      </c>
      <c r="D10" s="52" t="s">
        <v>1038</v>
      </c>
      <c r="E10" s="53">
        <v>0.97</v>
      </c>
      <c r="F10" s="52" t="s">
        <v>1037</v>
      </c>
      <c r="G10" s="53">
        <v>0.92</v>
      </c>
      <c r="H10" s="52" t="s">
        <v>1039</v>
      </c>
      <c r="I10" s="53">
        <v>0.96</v>
      </c>
      <c r="J10" s="52" t="s">
        <v>1040</v>
      </c>
      <c r="K10" s="54">
        <v>0.97</v>
      </c>
    </row>
    <row r="11" spans="2:11" ht="18.75" x14ac:dyDescent="0.3">
      <c r="B11" s="51" t="s">
        <v>1063</v>
      </c>
      <c r="C11" s="51" t="s">
        <v>1205</v>
      </c>
      <c r="D11" s="52" t="s">
        <v>1098</v>
      </c>
      <c r="E11" s="53">
        <v>0.84</v>
      </c>
      <c r="F11" s="52" t="s">
        <v>1097</v>
      </c>
      <c r="G11" s="53">
        <v>0.9</v>
      </c>
      <c r="H11" s="52" t="s">
        <v>1099</v>
      </c>
      <c r="I11" s="53">
        <v>0.68</v>
      </c>
      <c r="J11" s="52" t="s">
        <v>1100</v>
      </c>
      <c r="K11" s="54">
        <v>0.85</v>
      </c>
    </row>
    <row r="12" spans="2:11" ht="18.75" x14ac:dyDescent="0.3">
      <c r="B12" s="51" t="s">
        <v>1081</v>
      </c>
      <c r="C12" s="51" t="s">
        <v>1206</v>
      </c>
      <c r="D12" s="52" t="s">
        <v>1035</v>
      </c>
      <c r="E12" s="53">
        <v>0.99</v>
      </c>
      <c r="F12" s="52" t="s">
        <v>1034</v>
      </c>
      <c r="G12" s="53">
        <v>0.92</v>
      </c>
      <c r="H12" s="52" t="s">
        <v>1036</v>
      </c>
      <c r="I12" s="53">
        <v>0.98</v>
      </c>
      <c r="J12" s="52" t="s">
        <v>1101</v>
      </c>
      <c r="K12" s="54">
        <v>0.98</v>
      </c>
    </row>
    <row r="13" spans="2:11" ht="18.75" x14ac:dyDescent="0.3">
      <c r="B13" s="51" t="s">
        <v>1064</v>
      </c>
      <c r="C13" s="51" t="s">
        <v>1207</v>
      </c>
      <c r="D13" s="52" t="s">
        <v>1103</v>
      </c>
      <c r="E13" s="53">
        <v>1</v>
      </c>
      <c r="F13" s="52" t="s">
        <v>1102</v>
      </c>
      <c r="G13" s="53">
        <v>0.99</v>
      </c>
      <c r="H13" s="52" t="s">
        <v>1104</v>
      </c>
      <c r="I13" s="53">
        <v>0.99</v>
      </c>
      <c r="J13" s="52" t="s">
        <v>1105</v>
      </c>
      <c r="K13" s="54">
        <v>1</v>
      </c>
    </row>
    <row r="14" spans="2:11" ht="18.75" x14ac:dyDescent="0.3">
      <c r="B14" s="51" t="s">
        <v>1065</v>
      </c>
      <c r="C14" s="51" t="s">
        <v>1208</v>
      </c>
      <c r="D14" s="52" t="s">
        <v>1107</v>
      </c>
      <c r="E14" s="53">
        <v>0.71</v>
      </c>
      <c r="F14" s="52" t="s">
        <v>1106</v>
      </c>
      <c r="G14" s="53">
        <v>0.66</v>
      </c>
      <c r="H14" s="52" t="s">
        <v>1108</v>
      </c>
      <c r="I14" s="53">
        <v>0.56999999999999995</v>
      </c>
      <c r="J14" s="52" t="s">
        <v>1109</v>
      </c>
      <c r="K14" s="54">
        <v>0.74</v>
      </c>
    </row>
    <row r="15" spans="2:11" ht="18.75" x14ac:dyDescent="0.3">
      <c r="B15" s="51" t="s">
        <v>1066</v>
      </c>
      <c r="C15" s="51" t="s">
        <v>1209</v>
      </c>
      <c r="D15" s="52" t="s">
        <v>1111</v>
      </c>
      <c r="E15" s="53">
        <v>0.98</v>
      </c>
      <c r="F15" s="52" t="s">
        <v>1110</v>
      </c>
      <c r="G15" s="53">
        <v>0.95</v>
      </c>
      <c r="H15" s="52" t="s">
        <v>1112</v>
      </c>
      <c r="I15" s="53">
        <v>0.97</v>
      </c>
      <c r="J15" s="52" t="s">
        <v>1113</v>
      </c>
      <c r="K15" s="54">
        <v>0.99</v>
      </c>
    </row>
    <row r="16" spans="2:11" ht="18.75" x14ac:dyDescent="0.3">
      <c r="B16" s="51" t="s">
        <v>1067</v>
      </c>
      <c r="C16" s="51" t="s">
        <v>1210</v>
      </c>
      <c r="D16" s="52" t="s">
        <v>1115</v>
      </c>
      <c r="E16" s="53">
        <v>0.87</v>
      </c>
      <c r="F16" s="52" t="s">
        <v>1114</v>
      </c>
      <c r="G16" s="53">
        <v>0.51</v>
      </c>
      <c r="H16" s="52" t="s">
        <v>1116</v>
      </c>
      <c r="I16" s="53">
        <v>0.82</v>
      </c>
      <c r="J16" s="52" t="s">
        <v>1117</v>
      </c>
      <c r="K16" s="54">
        <v>0.9</v>
      </c>
    </row>
    <row r="17" spans="2:11" ht="18.75" x14ac:dyDescent="0.3">
      <c r="B17" s="51" t="s">
        <v>1068</v>
      </c>
      <c r="C17" s="51" t="s">
        <v>1211</v>
      </c>
      <c r="D17" s="52" t="s">
        <v>1119</v>
      </c>
      <c r="E17" s="53">
        <v>0.98</v>
      </c>
      <c r="F17" s="52" t="s">
        <v>1118</v>
      </c>
      <c r="G17" s="53">
        <v>0.67</v>
      </c>
      <c r="H17" s="52" t="s">
        <v>1120</v>
      </c>
      <c r="I17" s="53">
        <v>0.97</v>
      </c>
      <c r="J17" s="52" t="s">
        <v>1121</v>
      </c>
      <c r="K17" s="54">
        <v>0.99</v>
      </c>
    </row>
    <row r="18" spans="2:11" ht="18.75" x14ac:dyDescent="0.3">
      <c r="B18" s="51" t="s">
        <v>1069</v>
      </c>
      <c r="C18" s="51" t="s">
        <v>1212</v>
      </c>
      <c r="D18" s="52" t="s">
        <v>1123</v>
      </c>
      <c r="E18" s="53">
        <v>0.92</v>
      </c>
      <c r="F18" s="52" t="s">
        <v>1122</v>
      </c>
      <c r="G18" s="53">
        <v>0.88</v>
      </c>
      <c r="H18" s="52" t="s">
        <v>1124</v>
      </c>
      <c r="I18" s="53">
        <v>0.95</v>
      </c>
      <c r="J18" s="52" t="s">
        <v>1125</v>
      </c>
      <c r="K18" s="54">
        <v>0.95</v>
      </c>
    </row>
    <row r="19" spans="2:11" ht="18.75" x14ac:dyDescent="0.3">
      <c r="B19" s="51" t="s">
        <v>1070</v>
      </c>
      <c r="C19" s="51" t="s">
        <v>1213</v>
      </c>
      <c r="D19" s="52" t="s">
        <v>1127</v>
      </c>
      <c r="E19" s="53">
        <v>0.9</v>
      </c>
      <c r="F19" s="52" t="s">
        <v>1126</v>
      </c>
      <c r="G19" s="53">
        <v>0.83</v>
      </c>
      <c r="H19" s="52" t="s">
        <v>1128</v>
      </c>
      <c r="I19" s="53">
        <v>0.8</v>
      </c>
      <c r="J19" s="52" t="s">
        <v>1129</v>
      </c>
      <c r="K19" s="54">
        <v>0.92</v>
      </c>
    </row>
    <row r="20" spans="2:11" ht="18.75" x14ac:dyDescent="0.3">
      <c r="B20" s="51" t="s">
        <v>1071</v>
      </c>
      <c r="C20" s="51" t="s">
        <v>1214</v>
      </c>
      <c r="D20" s="52" t="s">
        <v>1131</v>
      </c>
      <c r="E20" s="53">
        <v>0.9</v>
      </c>
      <c r="F20" s="52" t="s">
        <v>1130</v>
      </c>
      <c r="G20" s="53">
        <v>0.83</v>
      </c>
      <c r="H20" s="52" t="s">
        <v>1132</v>
      </c>
      <c r="I20" s="53">
        <v>0.82</v>
      </c>
      <c r="J20" s="52" t="s">
        <v>1133</v>
      </c>
      <c r="K20" s="54">
        <v>0.9</v>
      </c>
    </row>
    <row r="21" spans="2:11" ht="18.75" x14ac:dyDescent="0.3">
      <c r="B21" s="51" t="s">
        <v>1072</v>
      </c>
      <c r="C21" s="51" t="s">
        <v>1215</v>
      </c>
      <c r="D21" s="52" t="s">
        <v>1135</v>
      </c>
      <c r="E21" s="53">
        <v>0.86</v>
      </c>
      <c r="F21" s="52" t="s">
        <v>1134</v>
      </c>
      <c r="G21" s="53">
        <v>0.77</v>
      </c>
      <c r="H21" s="52" t="s">
        <v>1136</v>
      </c>
      <c r="I21" s="53">
        <v>0.84</v>
      </c>
      <c r="J21" s="52" t="s">
        <v>1137</v>
      </c>
      <c r="K21" s="54">
        <v>0.9</v>
      </c>
    </row>
    <row r="22" spans="2:11" ht="18.75" x14ac:dyDescent="0.3">
      <c r="B22" s="51" t="s">
        <v>1073</v>
      </c>
      <c r="C22" s="51" t="s">
        <v>1216</v>
      </c>
      <c r="D22" s="52" t="s">
        <v>1139</v>
      </c>
      <c r="E22" s="53">
        <v>0.96</v>
      </c>
      <c r="F22" s="52" t="s">
        <v>1138</v>
      </c>
      <c r="G22" s="53">
        <v>0.94</v>
      </c>
      <c r="H22" s="52" t="s">
        <v>1140</v>
      </c>
      <c r="I22" s="53">
        <v>0.93</v>
      </c>
      <c r="J22" s="52" t="s">
        <v>1141</v>
      </c>
      <c r="K22" s="54">
        <v>0.95</v>
      </c>
    </row>
    <row r="23" spans="2:11" ht="18.75" x14ac:dyDescent="0.3">
      <c r="B23" s="51" t="s">
        <v>1074</v>
      </c>
      <c r="C23" s="51" t="s">
        <v>1217</v>
      </c>
      <c r="D23" s="52" t="s">
        <v>1143</v>
      </c>
      <c r="E23" s="53">
        <v>0.89</v>
      </c>
      <c r="F23" s="52" t="s">
        <v>1142</v>
      </c>
      <c r="G23" s="53">
        <v>0.9</v>
      </c>
      <c r="H23" s="52" t="s">
        <v>1144</v>
      </c>
      <c r="I23" s="53">
        <v>0.81</v>
      </c>
      <c r="J23" s="52" t="s">
        <v>1145</v>
      </c>
      <c r="K23" s="54">
        <v>0.9</v>
      </c>
    </row>
    <row r="24" spans="2:11" ht="18.75" x14ac:dyDescent="0.3">
      <c r="B24" s="51" t="s">
        <v>1075</v>
      </c>
      <c r="C24" s="51" t="s">
        <v>1218</v>
      </c>
      <c r="D24" s="52" t="s">
        <v>1147</v>
      </c>
      <c r="E24" s="53">
        <v>0.87</v>
      </c>
      <c r="F24" s="52" t="s">
        <v>1146</v>
      </c>
      <c r="G24" s="53">
        <v>0.85</v>
      </c>
      <c r="H24" s="52" t="s">
        <v>1148</v>
      </c>
      <c r="I24" s="53">
        <v>0.86</v>
      </c>
      <c r="J24" s="52" t="s">
        <v>1149</v>
      </c>
      <c r="K24" s="54">
        <v>0.92</v>
      </c>
    </row>
    <row r="25" spans="2:11" s="7" customFormat="1" ht="18.75" x14ac:dyDescent="0.3">
      <c r="B25" s="51" t="s">
        <v>1180</v>
      </c>
      <c r="C25" s="51" t="s">
        <v>1219</v>
      </c>
      <c r="D25" s="52" t="s">
        <v>1181</v>
      </c>
      <c r="E25" s="53">
        <v>0.98</v>
      </c>
      <c r="F25" s="52" t="s">
        <v>1182</v>
      </c>
      <c r="G25" s="53">
        <v>0.94</v>
      </c>
      <c r="H25" s="52" t="s">
        <v>1183</v>
      </c>
      <c r="I25" s="53">
        <v>0.98</v>
      </c>
      <c r="J25" s="52" t="s">
        <v>1184</v>
      </c>
      <c r="K25" s="54">
        <v>1</v>
      </c>
    </row>
    <row r="26" spans="2:11" ht="18.75" x14ac:dyDescent="0.3">
      <c r="B26" s="51" t="s">
        <v>1076</v>
      </c>
      <c r="C26" s="51" t="s">
        <v>1220</v>
      </c>
      <c r="D26" s="52" t="s">
        <v>1151</v>
      </c>
      <c r="E26" s="53">
        <v>0.9</v>
      </c>
      <c r="F26" s="52" t="s">
        <v>1150</v>
      </c>
      <c r="G26" s="53">
        <v>0.31</v>
      </c>
      <c r="H26" s="52" t="s">
        <v>1152</v>
      </c>
      <c r="I26" s="53">
        <v>0.91</v>
      </c>
      <c r="J26" s="52" t="s">
        <v>1153</v>
      </c>
      <c r="K26" s="54">
        <v>0.9</v>
      </c>
    </row>
    <row r="27" spans="2:11" ht="18.75" x14ac:dyDescent="0.3">
      <c r="B27" s="51" t="s">
        <v>1077</v>
      </c>
      <c r="C27" s="51" t="s">
        <v>1221</v>
      </c>
      <c r="D27" s="52" t="s">
        <v>1155</v>
      </c>
      <c r="E27" s="53">
        <v>0.73</v>
      </c>
      <c r="F27" s="52" t="s">
        <v>1154</v>
      </c>
      <c r="G27" s="53">
        <v>0.6</v>
      </c>
      <c r="H27" s="52" t="s">
        <v>1156</v>
      </c>
      <c r="I27" s="53">
        <v>0.69</v>
      </c>
      <c r="J27" s="52" t="s">
        <v>1157</v>
      </c>
      <c r="K27" s="54">
        <v>0.81</v>
      </c>
    </row>
    <row r="28" spans="2:11" ht="18.75" x14ac:dyDescent="0.3">
      <c r="B28" s="51" t="s">
        <v>1078</v>
      </c>
      <c r="C28" s="51" t="s">
        <v>1222</v>
      </c>
      <c r="D28" s="52" t="s">
        <v>1159</v>
      </c>
      <c r="E28" s="53">
        <v>0.94</v>
      </c>
      <c r="F28" s="52" t="s">
        <v>1158</v>
      </c>
      <c r="G28" s="53">
        <v>0.43</v>
      </c>
      <c r="H28" s="52" t="s">
        <v>1160</v>
      </c>
      <c r="I28" s="53">
        <v>0.91</v>
      </c>
      <c r="J28" s="52" t="s">
        <v>1161</v>
      </c>
      <c r="K28" s="54">
        <v>0.94</v>
      </c>
    </row>
    <row r="29" spans="2:11" ht="18.75" x14ac:dyDescent="0.3">
      <c r="B29" s="51" t="s">
        <v>1082</v>
      </c>
      <c r="C29" s="51" t="s">
        <v>1223</v>
      </c>
      <c r="D29" s="52" t="s">
        <v>1163</v>
      </c>
      <c r="E29" s="53">
        <v>0.89</v>
      </c>
      <c r="F29" s="52" t="s">
        <v>1162</v>
      </c>
      <c r="G29" s="53">
        <v>0.61</v>
      </c>
      <c r="H29" s="52" t="s">
        <v>1164</v>
      </c>
      <c r="I29" s="53">
        <v>0.81</v>
      </c>
      <c r="J29" s="52" t="s">
        <v>1165</v>
      </c>
      <c r="K29" s="54">
        <v>0.89</v>
      </c>
    </row>
    <row r="30" spans="2:11" s="7" customFormat="1" ht="18.75" x14ac:dyDescent="0.3">
      <c r="B30" s="51" t="s">
        <v>1185</v>
      </c>
      <c r="C30" s="51" t="s">
        <v>1224</v>
      </c>
      <c r="D30" s="52" t="s">
        <v>1186</v>
      </c>
      <c r="E30" s="53">
        <v>1</v>
      </c>
      <c r="F30" s="52" t="s">
        <v>1187</v>
      </c>
      <c r="G30" s="53">
        <v>0.93</v>
      </c>
      <c r="H30" s="52" t="s">
        <v>1188</v>
      </c>
      <c r="I30" s="53">
        <v>1</v>
      </c>
      <c r="J30" s="52" t="s">
        <v>1189</v>
      </c>
      <c r="K30" s="54">
        <v>1</v>
      </c>
    </row>
    <row r="31" spans="2:11" ht="18.75" x14ac:dyDescent="0.3">
      <c r="B31" s="51" t="s">
        <v>1079</v>
      </c>
      <c r="C31" s="51" t="s">
        <v>1225</v>
      </c>
      <c r="D31" s="52" t="s">
        <v>1167</v>
      </c>
      <c r="E31" s="53">
        <v>0.94</v>
      </c>
      <c r="F31" s="52" t="s">
        <v>1166</v>
      </c>
      <c r="G31" s="53">
        <v>0.91</v>
      </c>
      <c r="H31" s="52" t="s">
        <v>1168</v>
      </c>
      <c r="I31" s="53">
        <v>0.94</v>
      </c>
      <c r="J31" s="52" t="s">
        <v>1169</v>
      </c>
      <c r="K31" s="54">
        <v>0.96</v>
      </c>
    </row>
    <row r="32" spans="2:11" ht="19.5" thickBot="1" x14ac:dyDescent="0.35">
      <c r="B32" s="51" t="s">
        <v>1080</v>
      </c>
      <c r="C32" s="51" t="s">
        <v>1226</v>
      </c>
      <c r="D32" s="55" t="s">
        <v>1171</v>
      </c>
      <c r="E32" s="56">
        <v>0.98</v>
      </c>
      <c r="F32" s="55" t="s">
        <v>1170</v>
      </c>
      <c r="G32" s="56">
        <v>0.98</v>
      </c>
      <c r="H32" s="55" t="s">
        <v>1172</v>
      </c>
      <c r="I32" s="56">
        <v>0.96</v>
      </c>
      <c r="J32" s="55" t="s">
        <v>1173</v>
      </c>
      <c r="K32" s="57">
        <v>0.98</v>
      </c>
    </row>
    <row r="33" spans="1:8" customFormat="1" ht="90" x14ac:dyDescent="0.25">
      <c r="A33" s="7"/>
      <c r="B33" s="7"/>
      <c r="C33" s="7"/>
      <c r="D33" s="1" t="s">
        <v>1238</v>
      </c>
      <c r="E33" s="7"/>
      <c r="F33" s="7"/>
      <c r="G33" s="7"/>
      <c r="H33" s="7"/>
    </row>
    <row r="34" spans="1:8" customFormat="1" x14ac:dyDescent="0.25">
      <c r="A34" s="7"/>
      <c r="B34" s="7"/>
      <c r="C34" s="7"/>
      <c r="D34" s="7"/>
      <c r="E34" s="7"/>
      <c r="F34" s="7"/>
      <c r="G34" s="7"/>
      <c r="H34" s="7"/>
    </row>
    <row r="35" spans="1:8" customFormat="1" ht="21" x14ac:dyDescent="0.35">
      <c r="B35" s="7"/>
      <c r="D35" s="67" t="s">
        <v>1174</v>
      </c>
      <c r="E35" s="7"/>
      <c r="G35" s="7"/>
    </row>
    <row r="36" spans="1:8" customFormat="1" ht="21" x14ac:dyDescent="0.35">
      <c r="B36" s="7"/>
      <c r="D36" s="67" t="s">
        <v>1239</v>
      </c>
      <c r="E36" s="7"/>
      <c r="G36" s="7"/>
    </row>
    <row r="37" spans="1:8" customFormat="1" ht="21" x14ac:dyDescent="0.35">
      <c r="B37" s="7"/>
      <c r="D37" s="67" t="s">
        <v>1240</v>
      </c>
      <c r="E37" s="7"/>
      <c r="G37" s="7"/>
    </row>
    <row r="38" spans="1:8" customFormat="1" ht="21" x14ac:dyDescent="0.35">
      <c r="B38" s="7"/>
      <c r="D38" s="67" t="s">
        <v>1241</v>
      </c>
      <c r="E38" s="7"/>
      <c r="G38" s="7"/>
    </row>
  </sheetData>
  <mergeCells count="2">
    <mergeCell ref="D3:J3"/>
    <mergeCell ref="B3:C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AU485"/>
  <sheetViews>
    <sheetView workbookViewId="0">
      <pane xSplit="3" topLeftCell="D1" activePane="topRight" state="frozen"/>
      <selection activeCell="B5" sqref="B5:V8"/>
      <selection pane="topRight" sqref="A1:XFD1048576"/>
    </sheetView>
  </sheetViews>
  <sheetFormatPr baseColWidth="10" defaultRowHeight="15" x14ac:dyDescent="0.25"/>
  <cols>
    <col min="1" max="1" width="11.42578125" style="7"/>
    <col min="2" max="2" width="14.28515625" style="7" customWidth="1"/>
    <col min="3" max="3" width="18" customWidth="1"/>
    <col min="4" max="4" width="10.7109375" customWidth="1"/>
    <col min="5" max="5" width="13.28515625" customWidth="1"/>
    <col min="6" max="6" width="12.140625" bestFit="1" customWidth="1"/>
    <col min="7" max="7" width="12.140625" customWidth="1"/>
    <col min="8" max="8" width="9.140625"/>
    <col min="9" max="9" width="12" bestFit="1" customWidth="1"/>
    <col min="10" max="11" width="13.28515625" customWidth="1"/>
    <col min="12" max="12" width="14.42578125" customWidth="1"/>
    <col min="13" max="14" width="14.42578125" style="7" customWidth="1"/>
    <col min="15" max="15" width="13.140625" style="7" customWidth="1"/>
    <col min="16" max="16" width="14.42578125" style="7" customWidth="1"/>
    <col min="17" max="17" width="9.85546875" customWidth="1"/>
    <col min="18" max="18" width="9.140625"/>
    <col min="19" max="19" width="31.85546875" customWidth="1"/>
    <col min="20" max="20" width="11.42578125" customWidth="1"/>
    <col min="21" max="21" width="12.5703125" customWidth="1"/>
    <col min="22" max="23" width="11.42578125" customWidth="1"/>
    <col min="24" max="24" width="9.140625"/>
    <col min="25" max="25" width="11.85546875" customWidth="1"/>
    <col min="26" max="27" width="10.42578125" customWidth="1"/>
    <col min="29" max="29" width="12.140625" customWidth="1"/>
    <col min="33" max="33" width="12.5703125" customWidth="1"/>
    <col min="37" max="37" width="12.85546875" customWidth="1"/>
    <col min="41" max="41" width="12.42578125" customWidth="1"/>
    <col min="45" max="45" width="12.7109375" customWidth="1"/>
  </cols>
  <sheetData>
    <row r="1" spans="2:47" s="7" customFormat="1" x14ac:dyDescent="0.25"/>
    <row r="2" spans="2:47" s="7" customFormat="1" ht="18.75" x14ac:dyDescent="0.3">
      <c r="D2" s="140" t="s">
        <v>1232</v>
      </c>
      <c r="E2" s="140"/>
      <c r="F2" s="140"/>
      <c r="G2" s="140"/>
      <c r="H2" s="140"/>
      <c r="I2" s="140"/>
      <c r="J2" s="140"/>
      <c r="K2" s="140"/>
      <c r="L2" s="140"/>
      <c r="M2" s="140"/>
      <c r="N2" s="140"/>
    </row>
    <row r="3" spans="2:47" customFormat="1" ht="19.5" thickBot="1" x14ac:dyDescent="0.35">
      <c r="B3" s="7"/>
      <c r="E3" s="33" t="s">
        <v>1179</v>
      </c>
      <c r="M3" s="7"/>
      <c r="N3" s="7"/>
      <c r="O3" s="7"/>
      <c r="P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</row>
    <row r="4" spans="2:47" customFormat="1" ht="30.75" customHeight="1" thickBot="1" x14ac:dyDescent="0.35">
      <c r="B4" s="138" t="s">
        <v>1056</v>
      </c>
      <c r="C4" s="141" t="s">
        <v>1023</v>
      </c>
      <c r="D4" s="35" t="s">
        <v>1022</v>
      </c>
      <c r="E4" s="35" t="s">
        <v>1024</v>
      </c>
      <c r="F4" s="35" t="s">
        <v>1025</v>
      </c>
      <c r="G4" s="36" t="s">
        <v>1026</v>
      </c>
      <c r="I4" s="144" t="s">
        <v>1233</v>
      </c>
      <c r="J4" s="144"/>
      <c r="K4" s="144"/>
      <c r="L4" s="144"/>
      <c r="M4" s="7"/>
      <c r="N4" s="144" t="s">
        <v>1315</v>
      </c>
      <c r="O4" s="144"/>
      <c r="P4" s="144"/>
      <c r="Q4" s="144"/>
      <c r="S4" s="144" t="s">
        <v>1230</v>
      </c>
      <c r="T4" s="144"/>
      <c r="U4" s="144"/>
      <c r="V4" s="144"/>
      <c r="W4" s="144"/>
      <c r="X4" s="143"/>
      <c r="Y4" s="143"/>
      <c r="Z4" s="143"/>
      <c r="AA4" s="143"/>
      <c r="AB4" s="143"/>
      <c r="AC4" s="143"/>
      <c r="AD4" s="143"/>
      <c r="AE4" s="143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2:47" customFormat="1" ht="51.75" customHeight="1" thickBot="1" x14ac:dyDescent="0.3">
      <c r="B5" s="139"/>
      <c r="C5" s="142"/>
      <c r="D5" s="44" t="s">
        <v>0</v>
      </c>
      <c r="E5" s="44" t="s">
        <v>1</v>
      </c>
      <c r="F5" s="44" t="s">
        <v>2</v>
      </c>
      <c r="G5" s="45" t="s">
        <v>3</v>
      </c>
      <c r="I5" s="34" t="s">
        <v>1029</v>
      </c>
      <c r="J5" s="34" t="s">
        <v>1027</v>
      </c>
      <c r="K5" s="34" t="s">
        <v>1030</v>
      </c>
      <c r="L5" s="34" t="s">
        <v>1031</v>
      </c>
      <c r="M5" s="31"/>
      <c r="N5" s="34" t="s">
        <v>1175</v>
      </c>
      <c r="O5" s="34" t="s">
        <v>1176</v>
      </c>
      <c r="P5" s="34" t="s">
        <v>1177</v>
      </c>
      <c r="Q5" s="34" t="s">
        <v>1178</v>
      </c>
      <c r="S5" s="130"/>
      <c r="T5" s="131" t="s">
        <v>1032</v>
      </c>
      <c r="U5" s="131" t="s">
        <v>1027</v>
      </c>
      <c r="V5" s="131" t="s">
        <v>1033</v>
      </c>
      <c r="W5" s="131" t="s">
        <v>1028</v>
      </c>
      <c r="X5" s="9"/>
      <c r="Y5" s="9"/>
      <c r="Z5" s="9"/>
      <c r="AA5" s="9"/>
      <c r="AB5" s="9"/>
      <c r="AC5" s="9"/>
      <c r="AD5" s="9"/>
      <c r="AE5" s="9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2:47" customFormat="1" x14ac:dyDescent="0.25">
      <c r="B6" s="27" t="s">
        <v>1057</v>
      </c>
      <c r="C6" s="23" t="s">
        <v>4</v>
      </c>
      <c r="D6" s="23">
        <v>16.416666666666668</v>
      </c>
      <c r="E6" s="23">
        <v>24.30698478986724</v>
      </c>
      <c r="F6" s="23">
        <v>660</v>
      </c>
      <c r="G6" s="24">
        <v>16.7</v>
      </c>
      <c r="I6" s="123">
        <f>EXP(4.627246 -11.360686/D6 + -0.006167*E6 -0.00133*F6)</f>
        <v>18.311391317718705</v>
      </c>
      <c r="J6" s="124">
        <f>EXP(LN(E6) -20.378291 * (1/D6- 0.1))</f>
        <v>53.907824301972809</v>
      </c>
      <c r="K6" s="124">
        <f>EXP(5.447094 -21.576918/D6 + -0.015678*E6 -0.001387*F6)</f>
        <v>17.051856134667283</v>
      </c>
      <c r="L6" s="125">
        <f>EXP(8.352033 -41.928436/D6 + 0.014195*E6 -0.00184*F6)</f>
        <v>138.19341239342197</v>
      </c>
      <c r="M6" s="111"/>
      <c r="N6" s="123">
        <f t="shared" ref="N6:N69" si="0">I6/D6</f>
        <v>1.1154146995564693</v>
      </c>
      <c r="O6" s="124">
        <f t="shared" ref="O6:O69" si="1">J6/D6</f>
        <v>3.2837253381912368</v>
      </c>
      <c r="P6" s="124">
        <f t="shared" ref="P6:P69" si="2">K6/D6</f>
        <v>1.0386917442436923</v>
      </c>
      <c r="Q6" s="125">
        <f t="shared" ref="Q6:Q69" si="3">L6/D6</f>
        <v>8.4178728361475308</v>
      </c>
      <c r="S6" s="10" t="s">
        <v>1045</v>
      </c>
      <c r="T6" s="13">
        <f>AVERAGE(N6:N477)</f>
        <v>1.6750563299883174</v>
      </c>
      <c r="U6" s="13">
        <f>AVERAGE(O6:O477)</f>
        <v>1.349463290572211</v>
      </c>
      <c r="V6" s="13">
        <f>AVERAGE(P6:P477)</f>
        <v>1.4325421221627388</v>
      </c>
      <c r="W6" s="13">
        <f>AVERAGE(Q6:Q477)</f>
        <v>9.0067001386059395</v>
      </c>
    </row>
    <row r="7" spans="2:47" customFormat="1" x14ac:dyDescent="0.25">
      <c r="B7" s="8" t="s">
        <v>1057</v>
      </c>
      <c r="C7" s="3" t="s">
        <v>5</v>
      </c>
      <c r="D7" s="3">
        <v>16.416666666666668</v>
      </c>
      <c r="E7" s="3">
        <v>24.107132910813856</v>
      </c>
      <c r="F7" s="3">
        <v>540</v>
      </c>
      <c r="G7" s="4">
        <v>25.45</v>
      </c>
      <c r="I7" s="38">
        <f>EXP(4.627246 -11.360686/D7 + -0.006167*E7 -0.00133*F7)</f>
        <v>21.506513206751414</v>
      </c>
      <c r="J7" s="37">
        <f>EXP(LN(E7) -20.378291 * (1/D7- 0.1))</f>
        <v>53.464594502984333</v>
      </c>
      <c r="K7" s="37">
        <f>EXP(5.447094 -21.576918/D7 + -0.015678*E7 -0.001387*F7)</f>
        <v>20.203024880737168</v>
      </c>
      <c r="L7" s="39">
        <f>EXP(8.352033 -41.928436/D7 + 0.014195*E7 -0.00184*F7)</f>
        <v>171.84919957298973</v>
      </c>
      <c r="M7" s="111"/>
      <c r="N7" s="38">
        <f t="shared" si="0"/>
        <v>1.3100414136092231</v>
      </c>
      <c r="O7" s="37">
        <f t="shared" si="1"/>
        <v>3.2567265687097056</v>
      </c>
      <c r="P7" s="37">
        <f t="shared" si="2"/>
        <v>1.2306411094865279</v>
      </c>
      <c r="Q7" s="39">
        <f t="shared" si="3"/>
        <v>10.467971547593283</v>
      </c>
      <c r="S7" s="11" t="s">
        <v>1046</v>
      </c>
      <c r="T7" s="14">
        <f>MEDIAN(N6:N477)</f>
        <v>1.639095870713656</v>
      </c>
      <c r="U7" s="14">
        <f>MEDIAN(O6:O477)</f>
        <v>1.3175055099754283</v>
      </c>
      <c r="V7" s="14">
        <f>MEDIAN(P6:P477)</f>
        <v>1.3073481189560154</v>
      </c>
      <c r="W7" s="14">
        <f>MEDIAN(Q6:Q477)</f>
        <v>7.8877660038608441</v>
      </c>
    </row>
    <row r="8" spans="2:47" customFormat="1" x14ac:dyDescent="0.25">
      <c r="B8" s="8" t="s">
        <v>1057</v>
      </c>
      <c r="C8" s="3" t="s">
        <v>6</v>
      </c>
      <c r="D8" s="3">
        <v>15.416666666666666</v>
      </c>
      <c r="E8" s="3">
        <v>24.016534343370733</v>
      </c>
      <c r="F8" s="3">
        <v>660</v>
      </c>
      <c r="G8" s="4">
        <v>20.100000000000001</v>
      </c>
      <c r="I8" s="38">
        <f>EXP(4.627246 -11.360686/D8 + -0.006167*E8 -0.00133*F8)</f>
        <v>17.538994699123407</v>
      </c>
      <c r="J8" s="37">
        <f>EXP(LN(E8) -20.378291 * (1/D8- 0.1))</f>
        <v>49.143104032657909</v>
      </c>
      <c r="K8" s="37">
        <f>EXP(5.447094 -21.576918/D8 + -0.015678*E8 -0.001387*F8)</f>
        <v>15.729829915955849</v>
      </c>
      <c r="L8" s="39">
        <f>EXP(8.352033 -41.928436/D8 + 0.014195*E8 -0.00184*F8)</f>
        <v>116.61353757388916</v>
      </c>
      <c r="M8" s="111"/>
      <c r="N8" s="38">
        <f t="shared" si="0"/>
        <v>1.1376645210242211</v>
      </c>
      <c r="O8" s="37">
        <f t="shared" si="1"/>
        <v>3.187660802118351</v>
      </c>
      <c r="P8" s="37">
        <f t="shared" si="2"/>
        <v>1.0203132918457849</v>
      </c>
      <c r="Q8" s="39">
        <f t="shared" si="3"/>
        <v>7.5641213561441623</v>
      </c>
      <c r="S8" s="11" t="s">
        <v>1050</v>
      </c>
      <c r="T8" s="14">
        <f>_xlfn.MODE.MULT(N6:N477)</f>
        <v>1.3033851765700286</v>
      </c>
      <c r="U8" s="14">
        <f>_xlfn.MODE.MULT(O6:O477)</f>
        <v>1.4999999848563672</v>
      </c>
      <c r="V8" s="14">
        <f>_xlfn.MODE.MULT(P6:P477)</f>
        <v>0.71346334599951444</v>
      </c>
      <c r="W8" s="14">
        <f>_xlfn.MODE.MULT(Q6:Q477)</f>
        <v>8.0787507546745854</v>
      </c>
    </row>
    <row r="9" spans="2:47" customFormat="1" x14ac:dyDescent="0.25">
      <c r="B9" s="8" t="s">
        <v>1081</v>
      </c>
      <c r="C9" s="3" t="s">
        <v>69</v>
      </c>
      <c r="D9" s="3">
        <v>15.333333333333334</v>
      </c>
      <c r="E9" s="3">
        <v>7.3337053421978897</v>
      </c>
      <c r="F9" s="3">
        <v>780</v>
      </c>
      <c r="G9" s="4">
        <v>10.69</v>
      </c>
      <c r="I9" s="38">
        <f>EXP(3.041154-8.076789/D9+-0.014162*E9-0.000069*F9)</f>
        <v>10.55634347256802</v>
      </c>
      <c r="J9" s="37">
        <f>EXP(LN(E9)-5.886381*(1/D9-0.1))</f>
        <v>9.0000000135485365</v>
      </c>
      <c r="K9" s="37">
        <f>EXP(2.462079-17.066455/D9+-0.019585*E9+0.00093*F9)</f>
        <v>6.8951530411515964</v>
      </c>
      <c r="L9" s="39">
        <f>EXP(4.147779-16.451739/D9+-0.039504*E9+0.000229*F9)</f>
        <v>19.370451844280179</v>
      </c>
      <c r="M9" s="117"/>
      <c r="N9" s="38">
        <f t="shared" si="0"/>
        <v>0.68845718299356651</v>
      </c>
      <c r="O9" s="37">
        <f t="shared" si="1"/>
        <v>0.58695652262273057</v>
      </c>
      <c r="P9" s="37">
        <f t="shared" si="2"/>
        <v>0.44968389398814756</v>
      </c>
      <c r="Q9" s="39">
        <f t="shared" si="3"/>
        <v>1.2632903376704465</v>
      </c>
      <c r="S9" s="11" t="s">
        <v>1047</v>
      </c>
      <c r="T9" s="14">
        <f>_xlfn.STDEV.S(N6:N477)</f>
        <v>0.39967914647134056</v>
      </c>
      <c r="U9" s="14">
        <f>_xlfn.STDEV.S(O6:O477)</f>
        <v>0.32874452860410669</v>
      </c>
      <c r="V9" s="14">
        <f>_xlfn.STDEV.S(P6:P477)</f>
        <v>0.68856317833207414</v>
      </c>
      <c r="W9" s="14">
        <f>_xlfn.STDEV.S(Q6:Q477)</f>
        <v>5.5886926621079107</v>
      </c>
    </row>
    <row r="10" spans="2:47" customFormat="1" x14ac:dyDescent="0.25">
      <c r="B10" s="41" t="s">
        <v>1065</v>
      </c>
      <c r="C10" s="3" t="s">
        <v>70</v>
      </c>
      <c r="D10" s="3">
        <v>15.333333333333334</v>
      </c>
      <c r="E10" s="3">
        <v>9.6847639086360271</v>
      </c>
      <c r="F10" s="3">
        <v>940</v>
      </c>
      <c r="G10" s="4">
        <v>21.12</v>
      </c>
      <c r="H10" s="7"/>
      <c r="I10" s="38">
        <f t="shared" ref="I10:I41" si="4">EXP(2.707584 -5.677218/D10+ 0.067381*E10-0.000247*F10)</f>
        <v>15.763856071694931</v>
      </c>
      <c r="J10" s="37">
        <f t="shared" ref="J10:J41" si="5">EXP(LN(E10) -6.731967 * (1/D10 - 0.1))</f>
        <v>12.240000200471792</v>
      </c>
      <c r="K10" s="37">
        <f t="shared" ref="K10:K41" si="6">EXP(2.045355 -10.794574/D10+ 0.118218*E10+ 0.00037*F10)</f>
        <v>17.01464533072658</v>
      </c>
      <c r="L10" s="39">
        <f t="shared" ref="L10:L41" si="7">EXP(3.118363 -17.429548/D10+ 0.215077*E10+ 0.000309*F10)</f>
        <v>77.873313081936217</v>
      </c>
      <c r="M10" s="117"/>
      <c r="N10" s="38">
        <f t="shared" si="0"/>
        <v>1.0280775698931477</v>
      </c>
      <c r="O10" s="37">
        <f t="shared" si="1"/>
        <v>0.79826088263946471</v>
      </c>
      <c r="P10" s="37">
        <f t="shared" si="2"/>
        <v>1.1096507824386899</v>
      </c>
      <c r="Q10" s="39">
        <f t="shared" si="3"/>
        <v>5.078694331430623</v>
      </c>
      <c r="S10" s="11" t="s">
        <v>1194</v>
      </c>
      <c r="T10" s="14">
        <f>_xlfn.VAR.S(N6:N477)</f>
        <v>0.15974342012405929</v>
      </c>
      <c r="U10" s="14">
        <f>_xlfn.VAR.S(O6:O477)</f>
        <v>0.10807296508713633</v>
      </c>
      <c r="V10" s="14">
        <f>_xlfn.VAR.S(P6:P477)</f>
        <v>0.47411925055476767</v>
      </c>
      <c r="W10" s="14">
        <f>_xlfn.VAR.S(Q6:Q477)</f>
        <v>31.233485671498809</v>
      </c>
    </row>
    <row r="11" spans="2:47" customFormat="1" x14ac:dyDescent="0.25">
      <c r="B11" s="41" t="s">
        <v>1065</v>
      </c>
      <c r="C11" s="3" t="s">
        <v>71</v>
      </c>
      <c r="D11" s="3">
        <v>14.75</v>
      </c>
      <c r="E11" s="3">
        <v>12.640027570048513</v>
      </c>
      <c r="F11" s="3">
        <v>620</v>
      </c>
      <c r="G11" s="4">
        <v>17.7</v>
      </c>
      <c r="H11" s="7"/>
      <c r="I11" s="38">
        <f t="shared" si="4"/>
        <v>20.51683076253352</v>
      </c>
      <c r="J11" s="37">
        <f t="shared" si="5"/>
        <v>15.700000238073438</v>
      </c>
      <c r="K11" s="37">
        <f t="shared" si="6"/>
        <v>20.846754024612096</v>
      </c>
      <c r="L11" s="39">
        <f t="shared" si="7"/>
        <v>127.33965158652194</v>
      </c>
      <c r="M11" s="117"/>
      <c r="N11" s="38">
        <f t="shared" si="0"/>
        <v>1.3909715771209166</v>
      </c>
      <c r="O11" s="37">
        <f t="shared" si="1"/>
        <v>1.064406795801589</v>
      </c>
      <c r="P11" s="37">
        <f t="shared" si="2"/>
        <v>1.4133392559059048</v>
      </c>
      <c r="Q11" s="39">
        <f t="shared" si="3"/>
        <v>8.6331967177303017</v>
      </c>
      <c r="S11" s="11" t="s">
        <v>1048</v>
      </c>
      <c r="T11" s="14">
        <f>MAX(N6:N478)</f>
        <v>2.9940126207261644</v>
      </c>
      <c r="U11" s="14">
        <f>MAX(O6:O478)</f>
        <v>3.2837253381912368</v>
      </c>
      <c r="V11" s="14">
        <f>MAX(P6:P478)</f>
        <v>4.4366596331154575</v>
      </c>
      <c r="W11" s="14">
        <f>MAX(Q6:Q478)</f>
        <v>35.985516085825957</v>
      </c>
    </row>
    <row r="12" spans="2:47" customFormat="1" ht="15.75" thickBot="1" x14ac:dyDescent="0.3">
      <c r="B12" s="41" t="s">
        <v>1065</v>
      </c>
      <c r="C12" s="3" t="s">
        <v>72</v>
      </c>
      <c r="D12" s="3">
        <v>14.583333333333334</v>
      </c>
      <c r="E12" s="3">
        <v>15.376846257181134</v>
      </c>
      <c r="F12" s="3">
        <v>260</v>
      </c>
      <c r="G12" s="4">
        <v>29.88</v>
      </c>
      <c r="H12" s="7"/>
      <c r="I12" s="38">
        <f t="shared" si="4"/>
        <v>26.847597250773674</v>
      </c>
      <c r="J12" s="37">
        <f t="shared" si="5"/>
        <v>19.000000281182277</v>
      </c>
      <c r="K12" s="37">
        <f t="shared" si="6"/>
        <v>25.00749677288837</v>
      </c>
      <c r="L12" s="39">
        <f t="shared" si="7"/>
        <v>202.50001421446092</v>
      </c>
      <c r="M12" s="117"/>
      <c r="N12" s="38">
        <f t="shared" si="0"/>
        <v>1.8409780971959091</v>
      </c>
      <c r="O12" s="37">
        <f t="shared" si="1"/>
        <v>1.3028571621382132</v>
      </c>
      <c r="P12" s="37">
        <f t="shared" si="2"/>
        <v>1.7147997787123452</v>
      </c>
      <c r="Q12" s="39">
        <f t="shared" si="3"/>
        <v>13.885715260420177</v>
      </c>
      <c r="S12" s="20" t="s">
        <v>1049</v>
      </c>
      <c r="T12" s="21">
        <f>+MIN(N6:N477)</f>
        <v>0.68845718299356651</v>
      </c>
      <c r="U12" s="21">
        <f>+MIN(O6:O477)</f>
        <v>0.58695652262273057</v>
      </c>
      <c r="V12" s="21">
        <f>+MIN(P6:P477)</f>
        <v>0.15729580684833741</v>
      </c>
      <c r="W12" s="21">
        <f>+MIN(Q6:Q477)</f>
        <v>0.13322576388178758</v>
      </c>
    </row>
    <row r="13" spans="2:47" customFormat="1" x14ac:dyDescent="0.25">
      <c r="B13" s="41" t="s">
        <v>1065</v>
      </c>
      <c r="C13" s="3" t="s">
        <v>73</v>
      </c>
      <c r="D13" s="3">
        <v>10.75</v>
      </c>
      <c r="E13" s="3">
        <v>16.220017631575317</v>
      </c>
      <c r="F13" s="3">
        <v>720</v>
      </c>
      <c r="G13" s="4">
        <v>23.07</v>
      </c>
      <c r="H13" s="7"/>
      <c r="I13" s="38">
        <f t="shared" si="4"/>
        <v>22.077339173654213</v>
      </c>
      <c r="J13" s="37">
        <f t="shared" si="5"/>
        <v>17.000000055848496</v>
      </c>
      <c r="K13" s="37">
        <f t="shared" si="6"/>
        <v>25.156256317894428</v>
      </c>
      <c r="L13" s="39">
        <f t="shared" si="7"/>
        <v>182.73598931222691</v>
      </c>
      <c r="M13" s="117"/>
      <c r="N13" s="38">
        <f t="shared" si="0"/>
        <v>2.0537059696422522</v>
      </c>
      <c r="O13" s="37">
        <f t="shared" si="1"/>
        <v>1.5813953540324182</v>
      </c>
      <c r="P13" s="37">
        <f t="shared" si="2"/>
        <v>2.3401168667808769</v>
      </c>
      <c r="Q13" s="39">
        <f t="shared" si="3"/>
        <v>16.998696680207154</v>
      </c>
      <c r="S13" s="22" t="s">
        <v>1055</v>
      </c>
      <c r="T13" s="5">
        <f>+COUNT(N6:N477)</f>
        <v>472</v>
      </c>
      <c r="U13" s="5">
        <f>+COUNT(O6:O477)</f>
        <v>472</v>
      </c>
      <c r="V13" s="5">
        <f>+COUNT(P6:P477)</f>
        <v>472</v>
      </c>
      <c r="W13" s="5">
        <f>+COUNT(Q6:Q477)</f>
        <v>472</v>
      </c>
    </row>
    <row r="14" spans="2:47" customFormat="1" ht="15.75" thickBot="1" x14ac:dyDescent="0.3">
      <c r="B14" s="41" t="s">
        <v>1065</v>
      </c>
      <c r="C14" s="3" t="s">
        <v>74</v>
      </c>
      <c r="D14" s="3">
        <v>14.583333333333334</v>
      </c>
      <c r="E14" s="3">
        <v>14.48660778966012</v>
      </c>
      <c r="F14" s="3">
        <v>500</v>
      </c>
      <c r="G14" s="4">
        <v>23.81</v>
      </c>
      <c r="H14" s="7"/>
      <c r="I14" s="38">
        <f t="shared" si="4"/>
        <v>23.829186929338569</v>
      </c>
      <c r="J14" s="37">
        <f t="shared" si="5"/>
        <v>17.900000264903301</v>
      </c>
      <c r="K14" s="37">
        <f t="shared" si="6"/>
        <v>24.599680121876908</v>
      </c>
      <c r="L14" s="39">
        <f t="shared" si="7"/>
        <v>180.08521181823306</v>
      </c>
      <c r="M14" s="117"/>
      <c r="N14" s="38">
        <f t="shared" si="0"/>
        <v>1.6340013894403589</v>
      </c>
      <c r="O14" s="37">
        <f t="shared" si="1"/>
        <v>1.2274285895933692</v>
      </c>
      <c r="P14" s="37">
        <f t="shared" si="2"/>
        <v>1.6868352083572735</v>
      </c>
      <c r="Q14" s="39">
        <f t="shared" si="3"/>
        <v>12.348700238964552</v>
      </c>
      <c r="S14" s="25" t="s">
        <v>1193</v>
      </c>
      <c r="T14" s="26">
        <f>_xlfn.CONFIDENCE.NORM(0.05,T9,T13)</f>
        <v>3.6056916232916729E-2</v>
      </c>
      <c r="U14" s="26">
        <f t="shared" ref="U14:W14" si="8">_xlfn.CONFIDENCE.NORM(0.05,U9,U13)</f>
        <v>2.9657574168078196E-2</v>
      </c>
      <c r="V14" s="26">
        <f t="shared" si="8"/>
        <v>6.2118489446811261E-2</v>
      </c>
      <c r="W14" s="26">
        <f t="shared" si="8"/>
        <v>0.50418197934074827</v>
      </c>
    </row>
    <row r="15" spans="2:47" customFormat="1" x14ac:dyDescent="0.25">
      <c r="B15" s="41" t="s">
        <v>1065</v>
      </c>
      <c r="C15" s="3" t="s">
        <v>75</v>
      </c>
      <c r="D15" s="3">
        <v>6.833333333333333</v>
      </c>
      <c r="E15" s="3">
        <v>17.759463665250223</v>
      </c>
      <c r="F15" s="3">
        <v>740</v>
      </c>
      <c r="G15" s="4">
        <v>16.96</v>
      </c>
      <c r="H15" s="7"/>
      <c r="I15" s="38">
        <f t="shared" si="4"/>
        <v>18.004865573073957</v>
      </c>
      <c r="J15" s="37">
        <f t="shared" si="5"/>
        <v>12.999999716323872</v>
      </c>
      <c r="K15" s="37">
        <f t="shared" si="6"/>
        <v>17.097795199278618</v>
      </c>
      <c r="L15" s="39">
        <f t="shared" si="7"/>
        <v>101.08983791135702</v>
      </c>
      <c r="M15" s="117"/>
      <c r="N15" s="38">
        <f t="shared" si="0"/>
        <v>2.6348583765474083</v>
      </c>
      <c r="O15" s="37">
        <f t="shared" si="1"/>
        <v>1.9024389828766644</v>
      </c>
      <c r="P15" s="37">
        <f t="shared" si="2"/>
        <v>2.5021163706261396</v>
      </c>
      <c r="Q15" s="39">
        <f t="shared" si="3"/>
        <v>14.79363481629615</v>
      </c>
    </row>
    <row r="16" spans="2:47" customFormat="1" x14ac:dyDescent="0.25">
      <c r="B16" s="41" t="s">
        <v>1065</v>
      </c>
      <c r="C16" s="3" t="s">
        <v>76</v>
      </c>
      <c r="D16" s="3">
        <v>6.833333333333333</v>
      </c>
      <c r="E16" s="3">
        <v>16.393351075615591</v>
      </c>
      <c r="F16" s="3">
        <v>640</v>
      </c>
      <c r="G16" s="4">
        <v>11.61</v>
      </c>
      <c r="H16" s="7"/>
      <c r="I16" s="38">
        <f t="shared" si="4"/>
        <v>16.832171048105078</v>
      </c>
      <c r="J16" s="37">
        <f t="shared" si="5"/>
        <v>11.999999738145114</v>
      </c>
      <c r="K16" s="37">
        <f t="shared" si="6"/>
        <v>14.019516875663065</v>
      </c>
      <c r="L16" s="39">
        <f t="shared" si="7"/>
        <v>73.060671201462256</v>
      </c>
      <c r="M16" s="117"/>
      <c r="N16" s="38">
        <f t="shared" si="0"/>
        <v>2.4632445436251333</v>
      </c>
      <c r="O16" s="37">
        <f t="shared" si="1"/>
        <v>1.7560975226553825</v>
      </c>
      <c r="P16" s="37">
        <f t="shared" si="2"/>
        <v>2.0516366159506925</v>
      </c>
      <c r="Q16" s="39">
        <f t="shared" si="3"/>
        <v>10.691805541677404</v>
      </c>
    </row>
    <row r="17" spans="2:19" customFormat="1" x14ac:dyDescent="0.25">
      <c r="B17" s="41" t="s">
        <v>1065</v>
      </c>
      <c r="C17" s="3" t="s">
        <v>77</v>
      </c>
      <c r="D17" s="3">
        <v>6.75</v>
      </c>
      <c r="E17" s="3">
        <v>12.998596772367685</v>
      </c>
      <c r="F17" s="3">
        <v>1720</v>
      </c>
      <c r="G17" s="4">
        <v>11.31</v>
      </c>
      <c r="H17" s="7"/>
      <c r="I17" s="38">
        <f t="shared" si="4"/>
        <v>10.150603032435431</v>
      </c>
      <c r="J17" s="37">
        <f t="shared" si="5"/>
        <v>9.3999997868834733</v>
      </c>
      <c r="K17" s="37">
        <f t="shared" si="6"/>
        <v>13.725109494259733</v>
      </c>
      <c r="L17" s="39">
        <f t="shared" si="7"/>
        <v>47.626386160294274</v>
      </c>
      <c r="M17" s="117"/>
      <c r="N17" s="38">
        <f t="shared" si="0"/>
        <v>1.503793041842286</v>
      </c>
      <c r="O17" s="37">
        <f t="shared" si="1"/>
        <v>1.3925925610197738</v>
      </c>
      <c r="P17" s="37">
        <f t="shared" si="2"/>
        <v>2.0333495547051457</v>
      </c>
      <c r="Q17" s="39">
        <f t="shared" si="3"/>
        <v>7.0557609126361891</v>
      </c>
    </row>
    <row r="18" spans="2:19" customFormat="1" x14ac:dyDescent="0.25">
      <c r="B18" s="41" t="s">
        <v>1065</v>
      </c>
      <c r="C18" s="3" t="s">
        <v>78</v>
      </c>
      <c r="D18" s="3">
        <v>11.583333333333334</v>
      </c>
      <c r="E18" s="3">
        <v>9.6863659969139153</v>
      </c>
      <c r="F18" s="3">
        <v>1260</v>
      </c>
      <c r="G18" s="4">
        <v>11.93</v>
      </c>
      <c r="H18" s="7"/>
      <c r="I18" s="38">
        <f t="shared" si="4"/>
        <v>12.921873397761152</v>
      </c>
      <c r="J18" s="37">
        <f t="shared" si="5"/>
        <v>10.620000068355431</v>
      </c>
      <c r="K18" s="37">
        <f t="shared" si="6"/>
        <v>15.25263303768288</v>
      </c>
      <c r="L18" s="39">
        <f t="shared" si="7"/>
        <v>59.519760083535786</v>
      </c>
      <c r="M18" s="117"/>
      <c r="N18" s="38">
        <f t="shared" si="0"/>
        <v>1.1155574156340562</v>
      </c>
      <c r="O18" s="37">
        <f t="shared" si="1"/>
        <v>0.91683453827528893</v>
      </c>
      <c r="P18" s="37">
        <f t="shared" si="2"/>
        <v>1.3167740751956443</v>
      </c>
      <c r="Q18" s="39">
        <f t="shared" si="3"/>
        <v>5.1383965539743119</v>
      </c>
    </row>
    <row r="19" spans="2:19" customFormat="1" x14ac:dyDescent="0.25">
      <c r="B19" s="41" t="s">
        <v>1065</v>
      </c>
      <c r="C19" s="3" t="s">
        <v>79</v>
      </c>
      <c r="D19" s="3">
        <v>14.5</v>
      </c>
      <c r="E19" s="3">
        <v>8.3093261824199427</v>
      </c>
      <c r="F19" s="3">
        <v>580</v>
      </c>
      <c r="G19" s="4">
        <v>19.579999999999998</v>
      </c>
      <c r="H19" s="7"/>
      <c r="I19" s="38">
        <f t="shared" si="4"/>
        <v>15.374071653901439</v>
      </c>
      <c r="J19" s="37">
        <f t="shared" si="5"/>
        <v>10.240000149642229</v>
      </c>
      <c r="K19" s="37">
        <f t="shared" si="6"/>
        <v>12.155886564000303</v>
      </c>
      <c r="L19" s="39">
        <f t="shared" si="7"/>
        <v>48.554659057045825</v>
      </c>
      <c r="M19" s="117"/>
      <c r="N19" s="38">
        <f t="shared" si="0"/>
        <v>1.0602808037173406</v>
      </c>
      <c r="O19" s="37">
        <f t="shared" si="1"/>
        <v>0.70620690687187793</v>
      </c>
      <c r="P19" s="37">
        <f t="shared" si="2"/>
        <v>0.83833700441381398</v>
      </c>
      <c r="Q19" s="39">
        <f t="shared" si="3"/>
        <v>3.348597176347988</v>
      </c>
    </row>
    <row r="20" spans="2:19" customFormat="1" x14ac:dyDescent="0.25">
      <c r="B20" s="41" t="s">
        <v>1065</v>
      </c>
      <c r="C20" s="3" t="s">
        <v>80</v>
      </c>
      <c r="D20" s="3">
        <v>14.5</v>
      </c>
      <c r="E20" s="3">
        <v>8.1145763500194779</v>
      </c>
      <c r="F20" s="3">
        <v>220</v>
      </c>
      <c r="G20" s="4">
        <v>22.16</v>
      </c>
      <c r="H20" s="7"/>
      <c r="I20" s="38">
        <f t="shared" si="4"/>
        <v>16.584690208022646</v>
      </c>
      <c r="J20" s="37">
        <f t="shared" si="5"/>
        <v>10.000000146134992</v>
      </c>
      <c r="K20" s="37">
        <f t="shared" si="6"/>
        <v>10.397762176281679</v>
      </c>
      <c r="L20" s="39">
        <f t="shared" si="7"/>
        <v>41.660937722864823</v>
      </c>
      <c r="M20" s="117"/>
      <c r="N20" s="38">
        <f t="shared" si="0"/>
        <v>1.1437717384843205</v>
      </c>
      <c r="O20" s="37">
        <f t="shared" si="1"/>
        <v>0.68965518249206847</v>
      </c>
      <c r="P20" s="37">
        <f t="shared" si="2"/>
        <v>0.7170870466401158</v>
      </c>
      <c r="Q20" s="39">
        <f t="shared" si="3"/>
        <v>2.8731681188182638</v>
      </c>
    </row>
    <row r="21" spans="2:19" customFormat="1" x14ac:dyDescent="0.25">
      <c r="B21" s="41" t="s">
        <v>1065</v>
      </c>
      <c r="C21" s="3" t="s">
        <v>81</v>
      </c>
      <c r="D21" s="3">
        <v>13.5</v>
      </c>
      <c r="E21" s="3">
        <v>12.639736293247529</v>
      </c>
      <c r="F21" s="3">
        <v>700</v>
      </c>
      <c r="G21" s="4">
        <v>24.52</v>
      </c>
      <c r="H21" s="7"/>
      <c r="I21" s="38">
        <f t="shared" si="4"/>
        <v>19.410757146998215</v>
      </c>
      <c r="J21" s="37">
        <f t="shared" si="5"/>
        <v>15.050000183730177</v>
      </c>
      <c r="K21" s="37">
        <f t="shared" si="6"/>
        <v>20.065486929727793</v>
      </c>
      <c r="L21" s="39">
        <f t="shared" si="7"/>
        <v>116.99157610617425</v>
      </c>
      <c r="M21" s="117"/>
      <c r="N21" s="38">
        <f t="shared" si="0"/>
        <v>1.4378338627406084</v>
      </c>
      <c r="O21" s="37">
        <f t="shared" si="1"/>
        <v>1.1148148284244574</v>
      </c>
      <c r="P21" s="37">
        <f t="shared" si="2"/>
        <v>1.4863323651650218</v>
      </c>
      <c r="Q21" s="39">
        <f t="shared" si="3"/>
        <v>8.6660426745314254</v>
      </c>
      <c r="S21" t="s">
        <v>1190</v>
      </c>
    </row>
    <row r="22" spans="2:19" customFormat="1" x14ac:dyDescent="0.25">
      <c r="B22" s="41" t="s">
        <v>1065</v>
      </c>
      <c r="C22" s="3" t="s">
        <v>82</v>
      </c>
      <c r="D22" s="3">
        <v>12.5</v>
      </c>
      <c r="E22" s="3">
        <v>11.85186159574201</v>
      </c>
      <c r="F22" s="3">
        <v>120</v>
      </c>
      <c r="G22" s="4">
        <v>32.69</v>
      </c>
      <c r="H22" s="7"/>
      <c r="I22" s="38">
        <f t="shared" si="4"/>
        <v>20.539643463248488</v>
      </c>
      <c r="J22" s="37">
        <f t="shared" si="5"/>
        <v>13.560000127702493</v>
      </c>
      <c r="K22" s="37">
        <f t="shared" si="6"/>
        <v>13.836256840750677</v>
      </c>
      <c r="L22" s="39">
        <f t="shared" si="7"/>
        <v>74.451059974335919</v>
      </c>
      <c r="M22" s="117"/>
      <c r="N22" s="38">
        <f t="shared" si="0"/>
        <v>1.6431714770598791</v>
      </c>
      <c r="O22" s="37">
        <f t="shared" si="1"/>
        <v>1.0848000102161994</v>
      </c>
      <c r="P22" s="37">
        <f t="shared" si="2"/>
        <v>1.1069005472600542</v>
      </c>
      <c r="Q22" s="39">
        <f t="shared" si="3"/>
        <v>5.9560847979468736</v>
      </c>
      <c r="S22" s="7" t="s">
        <v>1196</v>
      </c>
    </row>
    <row r="23" spans="2:19" customFormat="1" x14ac:dyDescent="0.25">
      <c r="B23" s="41" t="s">
        <v>1065</v>
      </c>
      <c r="C23" s="3" t="s">
        <v>83</v>
      </c>
      <c r="D23" s="3">
        <v>13.583333333333334</v>
      </c>
      <c r="E23" s="3">
        <v>11.387064722193539</v>
      </c>
      <c r="F23" s="3">
        <v>600</v>
      </c>
      <c r="G23" s="4">
        <v>23.78</v>
      </c>
      <c r="H23" s="7"/>
      <c r="I23" s="38">
        <f t="shared" si="4"/>
        <v>18.332970558669036</v>
      </c>
      <c r="J23" s="37">
        <f t="shared" si="5"/>
        <v>13.60000016893882</v>
      </c>
      <c r="K23" s="37">
        <f t="shared" si="6"/>
        <v>16.757039739147121</v>
      </c>
      <c r="L23" s="39">
        <f t="shared" si="7"/>
        <v>87.330678107342749</v>
      </c>
      <c r="M23" s="117"/>
      <c r="N23" s="38">
        <f t="shared" si="0"/>
        <v>1.3496665441964935</v>
      </c>
      <c r="O23" s="37">
        <f t="shared" si="1"/>
        <v>1.0012270063022444</v>
      </c>
      <c r="P23" s="37">
        <f t="shared" si="2"/>
        <v>1.2336470973605242</v>
      </c>
      <c r="Q23" s="39">
        <f t="shared" si="3"/>
        <v>6.4292523760006928</v>
      </c>
    </row>
    <row r="24" spans="2:19" customFormat="1" x14ac:dyDescent="0.25">
      <c r="B24" s="41" t="s">
        <v>1065</v>
      </c>
      <c r="C24" s="3" t="s">
        <v>84</v>
      </c>
      <c r="D24" s="3">
        <v>13.583333333333334</v>
      </c>
      <c r="E24" s="3">
        <v>6.8154931499011333</v>
      </c>
      <c r="F24" s="3">
        <v>1320</v>
      </c>
      <c r="G24" s="4">
        <v>17.5</v>
      </c>
      <c r="H24" s="7"/>
      <c r="I24" s="38">
        <f t="shared" si="4"/>
        <v>11.277663008943794</v>
      </c>
      <c r="J24" s="37">
        <f t="shared" si="5"/>
        <v>8.1400001011148522</v>
      </c>
      <c r="K24" s="37">
        <f t="shared" si="6"/>
        <v>12.740379079674486</v>
      </c>
      <c r="L24" s="39">
        <f t="shared" si="7"/>
        <v>40.810602474646124</v>
      </c>
      <c r="M24" s="117"/>
      <c r="N24" s="38">
        <f t="shared" si="0"/>
        <v>0.83025739943144494</v>
      </c>
      <c r="O24" s="37">
        <f t="shared" si="1"/>
        <v>0.59926381112501981</v>
      </c>
      <c r="P24" s="37">
        <f t="shared" si="2"/>
        <v>0.93794201813554501</v>
      </c>
      <c r="Q24" s="39">
        <f t="shared" si="3"/>
        <v>3.0044615318757883</v>
      </c>
    </row>
    <row r="25" spans="2:19" customFormat="1" x14ac:dyDescent="0.25">
      <c r="B25" s="41" t="s">
        <v>1065</v>
      </c>
      <c r="C25" s="3" t="s">
        <v>85</v>
      </c>
      <c r="D25" s="3">
        <v>15.5</v>
      </c>
      <c r="E25" s="3">
        <v>12.91520246492604</v>
      </c>
      <c r="F25" s="3">
        <v>1920</v>
      </c>
      <c r="G25" s="4">
        <v>12.01</v>
      </c>
      <c r="H25" s="7"/>
      <c r="I25" s="38">
        <f t="shared" si="4"/>
        <v>15.445398515276315</v>
      </c>
      <c r="J25" s="37">
        <f t="shared" si="5"/>
        <v>16.400000274021441</v>
      </c>
      <c r="K25" s="37">
        <f t="shared" si="6"/>
        <v>36.094491943900046</v>
      </c>
      <c r="L25" s="39">
        <f t="shared" si="7"/>
        <v>213.77392530552709</v>
      </c>
      <c r="M25" s="117"/>
      <c r="N25" s="38">
        <f t="shared" si="0"/>
        <v>0.99647732356621388</v>
      </c>
      <c r="O25" s="37">
        <f t="shared" si="1"/>
        <v>1.0580645338078349</v>
      </c>
      <c r="P25" s="37">
        <f t="shared" si="2"/>
        <v>2.3286768996064544</v>
      </c>
      <c r="Q25" s="39">
        <f t="shared" si="3"/>
        <v>13.791866148743683</v>
      </c>
    </row>
    <row r="26" spans="2:19" customFormat="1" x14ac:dyDescent="0.25">
      <c r="B26" s="41" t="s">
        <v>1065</v>
      </c>
      <c r="C26" s="3" t="s">
        <v>86</v>
      </c>
      <c r="D26" s="3">
        <v>16.416666666666668</v>
      </c>
      <c r="E26" s="3">
        <v>13.297537606871069</v>
      </c>
      <c r="F26" s="3">
        <v>460</v>
      </c>
      <c r="G26" s="4">
        <v>19.239999999999998</v>
      </c>
      <c r="H26" s="7"/>
      <c r="I26" s="38">
        <f t="shared" si="4"/>
        <v>23.199831035699994</v>
      </c>
      <c r="J26" s="37">
        <f t="shared" si="5"/>
        <v>17.300000318405317</v>
      </c>
      <c r="K26" s="37">
        <f t="shared" si="6"/>
        <v>22.874569659176149</v>
      </c>
      <c r="L26" s="39">
        <f t="shared" si="7"/>
        <v>157.40138584380657</v>
      </c>
      <c r="M26" s="117"/>
      <c r="N26" s="38">
        <f t="shared" si="0"/>
        <v>1.4131876773015224</v>
      </c>
      <c r="O26" s="37">
        <f t="shared" si="1"/>
        <v>1.0538071259942325</v>
      </c>
      <c r="P26" s="37">
        <f t="shared" si="2"/>
        <v>1.3933748015741816</v>
      </c>
      <c r="Q26" s="39">
        <f t="shared" si="3"/>
        <v>9.5879016757648667</v>
      </c>
    </row>
    <row r="27" spans="2:19" customFormat="1" x14ac:dyDescent="0.25">
      <c r="B27" s="41" t="s">
        <v>1065</v>
      </c>
      <c r="C27" s="3" t="s">
        <v>87</v>
      </c>
      <c r="D27" s="3">
        <v>14.333333333333334</v>
      </c>
      <c r="E27" s="3">
        <v>11.258732195002402</v>
      </c>
      <c r="F27" s="3">
        <v>440</v>
      </c>
      <c r="G27" s="4">
        <v>17.239999999999998</v>
      </c>
      <c r="H27" s="7"/>
      <c r="I27" s="38">
        <f t="shared" si="4"/>
        <v>19.325851532636722</v>
      </c>
      <c r="J27" s="37">
        <f t="shared" si="5"/>
        <v>13.800000196455271</v>
      </c>
      <c r="K27" s="37">
        <f t="shared" si="6"/>
        <v>16.216512101673153</v>
      </c>
      <c r="L27" s="39">
        <f t="shared" si="7"/>
        <v>86.47041804783548</v>
      </c>
      <c r="M27" s="117"/>
      <c r="N27" s="38">
        <f t="shared" si="0"/>
        <v>1.3483152232072131</v>
      </c>
      <c r="O27" s="37">
        <f t="shared" si="1"/>
        <v>0.96279071138060024</v>
      </c>
      <c r="P27" s="37">
        <f t="shared" si="2"/>
        <v>1.1313845652330106</v>
      </c>
      <c r="Q27" s="39">
        <f t="shared" si="3"/>
        <v>6.0328198638024748</v>
      </c>
    </row>
    <row r="28" spans="2:19" customFormat="1" x14ac:dyDescent="0.25">
      <c r="B28" s="41" t="s">
        <v>1065</v>
      </c>
      <c r="C28" s="3" t="s">
        <v>88</v>
      </c>
      <c r="D28" s="3">
        <v>14.25</v>
      </c>
      <c r="E28" s="3">
        <v>17.670831909831087</v>
      </c>
      <c r="F28" s="3">
        <v>700</v>
      </c>
      <c r="G28" s="4">
        <v>20.02</v>
      </c>
      <c r="H28" s="7"/>
      <c r="I28" s="38">
        <f t="shared" si="4"/>
        <v>27.853567684973292</v>
      </c>
      <c r="J28" s="37">
        <f t="shared" si="5"/>
        <v>21.600000303345478</v>
      </c>
      <c r="K28" s="37">
        <f t="shared" si="6"/>
        <v>37.934137861586528</v>
      </c>
      <c r="L28" s="39">
        <f t="shared" si="7"/>
        <v>369.49098388281885</v>
      </c>
      <c r="M28" s="117"/>
      <c r="N28" s="38">
        <f t="shared" si="0"/>
        <v>1.9546363287700557</v>
      </c>
      <c r="O28" s="37">
        <f t="shared" si="1"/>
        <v>1.5157894949716124</v>
      </c>
      <c r="P28" s="37">
        <f t="shared" si="2"/>
        <v>2.6620447622165986</v>
      </c>
      <c r="Q28" s="39">
        <f t="shared" si="3"/>
        <v>25.929191851425884</v>
      </c>
    </row>
    <row r="29" spans="2:19" customFormat="1" x14ac:dyDescent="0.25">
      <c r="B29" s="41" t="s">
        <v>1065</v>
      </c>
      <c r="C29" s="3" t="s">
        <v>89</v>
      </c>
      <c r="D29" s="3">
        <v>13.25</v>
      </c>
      <c r="E29" s="3">
        <v>12.292937888831197</v>
      </c>
      <c r="F29" s="3">
        <v>560</v>
      </c>
      <c r="G29" s="4">
        <v>18.52</v>
      </c>
      <c r="H29" s="7"/>
      <c r="I29" s="38">
        <f t="shared" si="4"/>
        <v>19.474485343149905</v>
      </c>
      <c r="J29" s="37">
        <f t="shared" si="5"/>
        <v>14.500000167473148</v>
      </c>
      <c r="K29" s="37">
        <f t="shared" si="6"/>
        <v>18.013413974330572</v>
      </c>
      <c r="L29" s="39">
        <f t="shared" si="7"/>
        <v>101.48323550588418</v>
      </c>
      <c r="M29" s="117"/>
      <c r="N29" s="38">
        <f t="shared" si="0"/>
        <v>1.4697724787282946</v>
      </c>
      <c r="O29" s="37">
        <f t="shared" si="1"/>
        <v>1.0943396352809924</v>
      </c>
      <c r="P29" s="37">
        <f t="shared" si="2"/>
        <v>1.359502941458911</v>
      </c>
      <c r="Q29" s="39">
        <f t="shared" si="3"/>
        <v>7.659112113651636</v>
      </c>
    </row>
    <row r="30" spans="2:19" customFormat="1" x14ac:dyDescent="0.25">
      <c r="B30" s="41" t="s">
        <v>1065</v>
      </c>
      <c r="C30" s="3" t="s">
        <v>90</v>
      </c>
      <c r="D30" s="3">
        <v>13.25</v>
      </c>
      <c r="E30" s="3">
        <v>10.453236149606113</v>
      </c>
      <c r="F30" s="3">
        <v>509</v>
      </c>
      <c r="G30" s="4">
        <v>16.73</v>
      </c>
      <c r="H30" s="7"/>
      <c r="I30" s="38">
        <f t="shared" si="4"/>
        <v>17.422129734817947</v>
      </c>
      <c r="J30" s="37">
        <f t="shared" si="5"/>
        <v>12.330000142409924</v>
      </c>
      <c r="K30" s="37">
        <f t="shared" si="6"/>
        <v>14.221584431894886</v>
      </c>
      <c r="L30" s="39">
        <f t="shared" si="7"/>
        <v>67.252694624376076</v>
      </c>
      <c r="M30" s="117"/>
      <c r="N30" s="38">
        <f t="shared" si="0"/>
        <v>1.3148777158353167</v>
      </c>
      <c r="O30" s="37">
        <f t="shared" si="1"/>
        <v>0.93056604848376789</v>
      </c>
      <c r="P30" s="37">
        <f t="shared" si="2"/>
        <v>1.0733271269354632</v>
      </c>
      <c r="Q30" s="39">
        <f t="shared" si="3"/>
        <v>5.0756750659906471</v>
      </c>
    </row>
    <row r="31" spans="2:19" customFormat="1" x14ac:dyDescent="0.25">
      <c r="B31" s="41" t="s">
        <v>1065</v>
      </c>
      <c r="C31" s="3" t="s">
        <v>91</v>
      </c>
      <c r="D31" s="3">
        <v>13.333333333333334</v>
      </c>
      <c r="E31" s="3">
        <v>13.85965596913749</v>
      </c>
      <c r="F31" s="3">
        <v>840</v>
      </c>
      <c r="G31" s="4">
        <v>16.170000000000002</v>
      </c>
      <c r="H31" s="7"/>
      <c r="I31" s="38">
        <f t="shared" si="4"/>
        <v>20.250715552546151</v>
      </c>
      <c r="J31" s="37">
        <f t="shared" si="5"/>
        <v>16.40000019306056</v>
      </c>
      <c r="K31" s="37">
        <f t="shared" si="6"/>
        <v>24.167838444109197</v>
      </c>
      <c r="L31" s="39">
        <f t="shared" si="7"/>
        <v>156.27232007180351</v>
      </c>
      <c r="M31" s="117"/>
      <c r="N31" s="38">
        <f t="shared" si="0"/>
        <v>1.5188036664409612</v>
      </c>
      <c r="O31" s="37">
        <f t="shared" si="1"/>
        <v>1.230000014479542</v>
      </c>
      <c r="P31" s="37">
        <f t="shared" si="2"/>
        <v>1.8125878833081897</v>
      </c>
      <c r="Q31" s="39">
        <f t="shared" si="3"/>
        <v>11.720424005385263</v>
      </c>
    </row>
    <row r="32" spans="2:19" customFormat="1" x14ac:dyDescent="0.25">
      <c r="B32" s="41" t="s">
        <v>1065</v>
      </c>
      <c r="C32" s="3" t="s">
        <v>92</v>
      </c>
      <c r="D32" s="3">
        <v>12.333333333333334</v>
      </c>
      <c r="E32" s="3">
        <v>12.325814472242618</v>
      </c>
      <c r="F32" s="3">
        <v>1000</v>
      </c>
      <c r="G32" s="4">
        <v>11.79</v>
      </c>
      <c r="H32" s="7"/>
      <c r="I32" s="38">
        <f t="shared" si="4"/>
        <v>16.958933276979884</v>
      </c>
      <c r="J32" s="37">
        <f t="shared" si="5"/>
        <v>14.00000012471941</v>
      </c>
      <c r="K32" s="37">
        <f t="shared" si="6"/>
        <v>20.030425759643514</v>
      </c>
      <c r="L32" s="39">
        <f t="shared" si="7"/>
        <v>106.18210636626075</v>
      </c>
      <c r="M32" s="117"/>
      <c r="N32" s="38">
        <f t="shared" si="0"/>
        <v>1.37504864407945</v>
      </c>
      <c r="O32" s="37">
        <f t="shared" si="1"/>
        <v>1.1351351452475196</v>
      </c>
      <c r="P32" s="37">
        <f t="shared" si="2"/>
        <v>1.6240885751062308</v>
      </c>
      <c r="Q32" s="39">
        <f t="shared" si="3"/>
        <v>8.6093599756427626</v>
      </c>
    </row>
    <row r="33" spans="2:17" customFormat="1" x14ac:dyDescent="0.25">
      <c r="B33" s="41" t="s">
        <v>1065</v>
      </c>
      <c r="C33" s="3" t="s">
        <v>93</v>
      </c>
      <c r="D33" s="3">
        <v>12.333333333333334</v>
      </c>
      <c r="E33" s="3">
        <v>11.621482216685898</v>
      </c>
      <c r="F33" s="3">
        <v>1860</v>
      </c>
      <c r="G33" s="4">
        <v>12.47</v>
      </c>
      <c r="H33" s="7"/>
      <c r="I33" s="38">
        <f t="shared" si="4"/>
        <v>13.077799792136577</v>
      </c>
      <c r="J33" s="37">
        <f t="shared" si="5"/>
        <v>13.200000117592589</v>
      </c>
      <c r="K33" s="37">
        <f t="shared" si="6"/>
        <v>25.335020674244291</v>
      </c>
      <c r="L33" s="39">
        <f t="shared" si="7"/>
        <v>119.03409160084878</v>
      </c>
      <c r="M33" s="117"/>
      <c r="N33" s="38">
        <f t="shared" si="0"/>
        <v>1.0603621453083711</v>
      </c>
      <c r="O33" s="37">
        <f t="shared" si="1"/>
        <v>1.0702702798048045</v>
      </c>
      <c r="P33" s="37">
        <f t="shared" si="2"/>
        <v>2.0541908654792667</v>
      </c>
      <c r="Q33" s="39">
        <f t="shared" si="3"/>
        <v>9.6514128325012525</v>
      </c>
    </row>
    <row r="34" spans="2:17" customFormat="1" x14ac:dyDescent="0.25">
      <c r="B34" s="41" t="s">
        <v>1065</v>
      </c>
      <c r="C34" s="3" t="s">
        <v>94</v>
      </c>
      <c r="D34" s="3">
        <v>12.333333333333334</v>
      </c>
      <c r="E34" s="3">
        <v>13.206229791688521</v>
      </c>
      <c r="F34" s="3">
        <v>100</v>
      </c>
      <c r="G34" s="4">
        <v>23.86</v>
      </c>
      <c r="H34" s="7"/>
      <c r="I34" s="38">
        <f t="shared" si="4"/>
        <v>22.475324007848826</v>
      </c>
      <c r="J34" s="37">
        <f t="shared" si="5"/>
        <v>15.000000133627942</v>
      </c>
      <c r="K34" s="37">
        <f t="shared" si="6"/>
        <v>15.932058605407482</v>
      </c>
      <c r="L34" s="39">
        <f t="shared" si="7"/>
        <v>97.165206572594798</v>
      </c>
      <c r="M34" s="117"/>
      <c r="N34" s="38">
        <f t="shared" si="0"/>
        <v>1.8223235682039587</v>
      </c>
      <c r="O34" s="37">
        <f t="shared" si="1"/>
        <v>1.2162162270509143</v>
      </c>
      <c r="P34" s="37">
        <f t="shared" si="2"/>
        <v>1.2917885355735796</v>
      </c>
      <c r="Q34" s="39">
        <f t="shared" si="3"/>
        <v>7.8782599923725511</v>
      </c>
    </row>
    <row r="35" spans="2:17" customFormat="1" x14ac:dyDescent="0.25">
      <c r="B35" s="41" t="s">
        <v>1065</v>
      </c>
      <c r="C35" s="3" t="s">
        <v>95</v>
      </c>
      <c r="D35" s="3">
        <v>12.333333333333334</v>
      </c>
      <c r="E35" s="3">
        <v>11.885606812519669</v>
      </c>
      <c r="F35" s="3">
        <v>260</v>
      </c>
      <c r="G35" s="4">
        <v>24.6</v>
      </c>
      <c r="H35" s="7"/>
      <c r="I35" s="38">
        <f t="shared" si="4"/>
        <v>19.765007963572426</v>
      </c>
      <c r="J35" s="37">
        <f t="shared" si="5"/>
        <v>13.500000120265147</v>
      </c>
      <c r="K35" s="37">
        <f t="shared" si="6"/>
        <v>14.460371911675097</v>
      </c>
      <c r="L35" s="39">
        <f t="shared" si="7"/>
        <v>76.84704838936392</v>
      </c>
      <c r="M35" s="117"/>
      <c r="N35" s="38">
        <f t="shared" si="0"/>
        <v>1.6025682132626291</v>
      </c>
      <c r="O35" s="37">
        <f t="shared" si="1"/>
        <v>1.0945946043458228</v>
      </c>
      <c r="P35" s="37">
        <f t="shared" si="2"/>
        <v>1.1724625874331158</v>
      </c>
      <c r="Q35" s="39">
        <f t="shared" si="3"/>
        <v>6.2308417612997768</v>
      </c>
    </row>
    <row r="36" spans="2:17" customFormat="1" x14ac:dyDescent="0.25">
      <c r="B36" s="41" t="s">
        <v>1065</v>
      </c>
      <c r="C36" s="3" t="s">
        <v>96</v>
      </c>
      <c r="D36" s="3">
        <v>12.333333333333334</v>
      </c>
      <c r="E36" s="3">
        <v>14.526852770857372</v>
      </c>
      <c r="F36" s="3">
        <v>385</v>
      </c>
      <c r="G36" s="4">
        <v>24.57</v>
      </c>
      <c r="H36" s="7"/>
      <c r="I36" s="38">
        <f t="shared" si="4"/>
        <v>22.897045701738822</v>
      </c>
      <c r="J36" s="37">
        <f t="shared" si="5"/>
        <v>16.500000146990736</v>
      </c>
      <c r="K36" s="37">
        <f t="shared" si="6"/>
        <v>20.695261295370056</v>
      </c>
      <c r="L36" s="39">
        <f t="shared" si="7"/>
        <v>140.96523769378936</v>
      </c>
      <c r="M36" s="117"/>
      <c r="N36" s="38">
        <f t="shared" si="0"/>
        <v>1.8565172190599044</v>
      </c>
      <c r="O36" s="37">
        <f t="shared" si="1"/>
        <v>1.3378378497560055</v>
      </c>
      <c r="P36" s="37">
        <f t="shared" si="2"/>
        <v>1.6779941590840586</v>
      </c>
      <c r="Q36" s="39">
        <f t="shared" si="3"/>
        <v>11.429613867064003</v>
      </c>
    </row>
    <row r="37" spans="2:17" customFormat="1" x14ac:dyDescent="0.25">
      <c r="B37" s="41" t="s">
        <v>1065</v>
      </c>
      <c r="C37" s="3" t="s">
        <v>97</v>
      </c>
      <c r="D37" s="3">
        <v>12.333333333333334</v>
      </c>
      <c r="E37" s="3">
        <v>11.79756528057508</v>
      </c>
      <c r="F37" s="3">
        <v>476</v>
      </c>
      <c r="G37" s="4">
        <v>20.170000000000002</v>
      </c>
      <c r="H37" s="7"/>
      <c r="I37" s="38">
        <f t="shared" si="4"/>
        <v>18.627309809570953</v>
      </c>
      <c r="J37" s="37">
        <f t="shared" si="5"/>
        <v>13.400000119374296</v>
      </c>
      <c r="K37" s="37">
        <f t="shared" si="6"/>
        <v>15.501299244053158</v>
      </c>
      <c r="L37" s="39">
        <f t="shared" si="7"/>
        <v>80.61021296868833</v>
      </c>
      <c r="M37" s="117"/>
      <c r="N37" s="38">
        <f t="shared" si="0"/>
        <v>1.5103224169922393</v>
      </c>
      <c r="O37" s="37">
        <f t="shared" si="1"/>
        <v>1.0864864961654834</v>
      </c>
      <c r="P37" s="37">
        <f t="shared" si="2"/>
        <v>1.2568621008691749</v>
      </c>
      <c r="Q37" s="39">
        <f t="shared" si="3"/>
        <v>6.5359632136774319</v>
      </c>
    </row>
    <row r="38" spans="2:17" customFormat="1" x14ac:dyDescent="0.25">
      <c r="B38" s="41" t="s">
        <v>1065</v>
      </c>
      <c r="C38" s="3" t="s">
        <v>98</v>
      </c>
      <c r="D38" s="3">
        <v>15.25</v>
      </c>
      <c r="E38" s="3">
        <v>12.563328848253546</v>
      </c>
      <c r="F38" s="3">
        <v>600</v>
      </c>
      <c r="G38" s="4">
        <v>21.39</v>
      </c>
      <c r="H38" s="7"/>
      <c r="I38" s="38">
        <f t="shared" si="4"/>
        <v>20.772646953561075</v>
      </c>
      <c r="J38" s="37">
        <f t="shared" si="5"/>
        <v>15.840000256775944</v>
      </c>
      <c r="K38" s="37">
        <f t="shared" si="6"/>
        <v>21.004268768366664</v>
      </c>
      <c r="L38" s="39">
        <f t="shared" si="7"/>
        <v>129.40213722701935</v>
      </c>
      <c r="M38" s="117"/>
      <c r="N38" s="38">
        <f t="shared" si="0"/>
        <v>1.3621407838400705</v>
      </c>
      <c r="O38" s="37">
        <f t="shared" si="1"/>
        <v>1.0386885414279308</v>
      </c>
      <c r="P38" s="37">
        <f t="shared" si="2"/>
        <v>1.3773290995650271</v>
      </c>
      <c r="Q38" s="39">
        <f t="shared" si="3"/>
        <v>8.4853860476733995</v>
      </c>
    </row>
    <row r="39" spans="2:17" customFormat="1" x14ac:dyDescent="0.25">
      <c r="B39" s="41" t="s">
        <v>1065</v>
      </c>
      <c r="C39" s="3" t="s">
        <v>99</v>
      </c>
      <c r="D39" s="3">
        <v>15.25</v>
      </c>
      <c r="E39" s="3">
        <v>11.738463822863164</v>
      </c>
      <c r="F39" s="3">
        <v>880</v>
      </c>
      <c r="G39" s="4">
        <v>15.9</v>
      </c>
      <c r="H39" s="7"/>
      <c r="I39" s="38">
        <f t="shared" si="4"/>
        <v>18.336559259317237</v>
      </c>
      <c r="J39" s="37">
        <f t="shared" si="5"/>
        <v>14.800000239916919</v>
      </c>
      <c r="K39" s="37">
        <f t="shared" si="6"/>
        <v>21.132492780241201</v>
      </c>
      <c r="L39" s="39">
        <f t="shared" si="7"/>
        <v>118.15949960278797</v>
      </c>
      <c r="M39" s="117"/>
      <c r="N39" s="38">
        <f t="shared" si="0"/>
        <v>1.2023973284798188</v>
      </c>
      <c r="O39" s="37">
        <f t="shared" si="1"/>
        <v>0.9704918190109455</v>
      </c>
      <c r="P39" s="37">
        <f t="shared" si="2"/>
        <v>1.3857372314912262</v>
      </c>
      <c r="Q39" s="39">
        <f t="shared" si="3"/>
        <v>7.7481639083795395</v>
      </c>
    </row>
    <row r="40" spans="2:17" customFormat="1" x14ac:dyDescent="0.25">
      <c r="B40" s="41" t="s">
        <v>1065</v>
      </c>
      <c r="C40" s="3" t="s">
        <v>100</v>
      </c>
      <c r="D40" s="3">
        <v>15.25</v>
      </c>
      <c r="E40" s="3">
        <v>9.9142430936344308</v>
      </c>
      <c r="F40" s="3">
        <v>1020</v>
      </c>
      <c r="G40" s="4">
        <v>17.350000000000001</v>
      </c>
      <c r="H40" s="7"/>
      <c r="I40" s="38">
        <f t="shared" si="4"/>
        <v>15.664531612914489</v>
      </c>
      <c r="J40" s="37">
        <f t="shared" si="5"/>
        <v>12.500000202632537</v>
      </c>
      <c r="K40" s="37">
        <f t="shared" si="6"/>
        <v>17.93862253679897</v>
      </c>
      <c r="L40" s="39">
        <f t="shared" si="7"/>
        <v>83.341571434471561</v>
      </c>
      <c r="M40" s="117"/>
      <c r="N40" s="38">
        <f t="shared" si="0"/>
        <v>1.0271824008468518</v>
      </c>
      <c r="O40" s="37">
        <f t="shared" si="1"/>
        <v>0.81967214443492042</v>
      </c>
      <c r="P40" s="37">
        <f t="shared" si="2"/>
        <v>1.1763031171671456</v>
      </c>
      <c r="Q40" s="39">
        <f t="shared" si="3"/>
        <v>5.4650210776702659</v>
      </c>
    </row>
    <row r="41" spans="2:17" customFormat="1" x14ac:dyDescent="0.25">
      <c r="B41" s="41" t="s">
        <v>1065</v>
      </c>
      <c r="C41" s="3" t="s">
        <v>101</v>
      </c>
      <c r="D41" s="3">
        <v>15.25</v>
      </c>
      <c r="E41" s="3">
        <v>12.452289325604841</v>
      </c>
      <c r="F41" s="3">
        <v>980</v>
      </c>
      <c r="G41" s="4">
        <v>21.43</v>
      </c>
      <c r="H41" s="7"/>
      <c r="I41" s="38">
        <f t="shared" si="4"/>
        <v>18.770661959864864</v>
      </c>
      <c r="J41" s="37">
        <f t="shared" si="5"/>
        <v>15.700000254506461</v>
      </c>
      <c r="K41" s="37">
        <f t="shared" si="6"/>
        <v>23.859890358584167</v>
      </c>
      <c r="L41" s="39">
        <f t="shared" si="7"/>
        <v>142.09031136290545</v>
      </c>
      <c r="M41" s="117"/>
      <c r="N41" s="38">
        <f t="shared" si="0"/>
        <v>1.230863079335401</v>
      </c>
      <c r="O41" s="37">
        <f t="shared" si="1"/>
        <v>1.0295082134102598</v>
      </c>
      <c r="P41" s="37">
        <f t="shared" si="2"/>
        <v>1.5645829743333879</v>
      </c>
      <c r="Q41" s="39">
        <f t="shared" si="3"/>
        <v>9.3173974664200294</v>
      </c>
    </row>
    <row r="42" spans="2:17" customFormat="1" x14ac:dyDescent="0.25">
      <c r="B42" s="41" t="s">
        <v>1065</v>
      </c>
      <c r="C42" s="3" t="s">
        <v>102</v>
      </c>
      <c r="D42" s="3">
        <v>15.25</v>
      </c>
      <c r="E42" s="3">
        <v>14.752393723328034</v>
      </c>
      <c r="F42" s="3">
        <v>660</v>
      </c>
      <c r="G42" s="4">
        <v>26.98</v>
      </c>
      <c r="H42" s="7"/>
      <c r="I42" s="38">
        <f t="shared" ref="I42:I73" si="9">EXP(2.707584 -5.677218/D42+ 0.067381*E42-0.000247*F42)</f>
        <v>23.719997086664886</v>
      </c>
      <c r="J42" s="37">
        <f t="shared" ref="J42:J73" si="10">EXP(LN(E42) -6.731967 * (1/D42 - 0.1))</f>
        <v>18.600000301517216</v>
      </c>
      <c r="K42" s="37">
        <f t="shared" ref="K42:K73" si="11">EXP(2.045355 -10.794574/D42+ 0.118218*E42+ 0.00037*F42)</f>
        <v>27.818814243849157</v>
      </c>
      <c r="L42" s="39">
        <f t="shared" ref="L42:L73" si="12">EXP(3.118363 -17.429548/D42+ 0.215077*E42+ 0.000309*F42)</f>
        <v>211.08954018027794</v>
      </c>
      <c r="M42" s="117"/>
      <c r="N42" s="38">
        <f t="shared" si="0"/>
        <v>1.5554096450272057</v>
      </c>
      <c r="O42" s="37">
        <f t="shared" si="1"/>
        <v>1.2196721509191617</v>
      </c>
      <c r="P42" s="37">
        <f t="shared" si="2"/>
        <v>1.8241845405802726</v>
      </c>
      <c r="Q42" s="39">
        <f t="shared" si="3"/>
        <v>13.841937061001833</v>
      </c>
    </row>
    <row r="43" spans="2:17" customFormat="1" x14ac:dyDescent="0.25">
      <c r="B43" s="41" t="s">
        <v>1065</v>
      </c>
      <c r="C43" s="3" t="s">
        <v>103</v>
      </c>
      <c r="D43" s="3">
        <v>14.5</v>
      </c>
      <c r="E43" s="3">
        <v>12.171864525029214</v>
      </c>
      <c r="F43" s="3">
        <v>660</v>
      </c>
      <c r="G43" s="4">
        <v>17.27</v>
      </c>
      <c r="H43" s="7"/>
      <c r="I43" s="38">
        <f t="shared" si="9"/>
        <v>19.554083273143728</v>
      </c>
      <c r="J43" s="37">
        <f t="shared" si="10"/>
        <v>15.000000219202484</v>
      </c>
      <c r="K43" s="37">
        <f t="shared" si="11"/>
        <v>19.767419470267214</v>
      </c>
      <c r="L43" s="39">
        <f t="shared" si="12"/>
        <v>114.22307257183816</v>
      </c>
      <c r="M43" s="117"/>
      <c r="N43" s="38">
        <f t="shared" si="0"/>
        <v>1.3485574671133607</v>
      </c>
      <c r="O43" s="37">
        <f t="shared" si="1"/>
        <v>1.0344827737381024</v>
      </c>
      <c r="P43" s="37">
        <f t="shared" si="2"/>
        <v>1.3632703082942905</v>
      </c>
      <c r="Q43" s="39">
        <f t="shared" si="3"/>
        <v>7.8774532808164244</v>
      </c>
    </row>
    <row r="44" spans="2:17" customFormat="1" x14ac:dyDescent="0.25">
      <c r="B44" s="41" t="s">
        <v>1065</v>
      </c>
      <c r="C44" s="3" t="s">
        <v>104</v>
      </c>
      <c r="D44" s="3">
        <v>14.5</v>
      </c>
      <c r="E44" s="3">
        <v>12.739884869530576</v>
      </c>
      <c r="F44" s="3">
        <v>1040</v>
      </c>
      <c r="G44" s="4">
        <v>15.69</v>
      </c>
      <c r="H44" s="7"/>
      <c r="I44" s="38">
        <f t="shared" si="9"/>
        <v>18.4968030035479</v>
      </c>
      <c r="J44" s="37">
        <f t="shared" si="10"/>
        <v>15.700000229431932</v>
      </c>
      <c r="K44" s="37">
        <f t="shared" si="11"/>
        <v>24.331829037578093</v>
      </c>
      <c r="L44" s="39">
        <f t="shared" si="12"/>
        <v>145.14618761418521</v>
      </c>
      <c r="M44" s="117"/>
      <c r="N44" s="38">
        <f t="shared" si="0"/>
        <v>1.2756415864515793</v>
      </c>
      <c r="O44" s="37">
        <f t="shared" si="1"/>
        <v>1.082758636512547</v>
      </c>
      <c r="P44" s="37">
        <f t="shared" si="2"/>
        <v>1.6780571750053856</v>
      </c>
      <c r="Q44" s="39">
        <f t="shared" si="3"/>
        <v>10.010081904426567</v>
      </c>
    </row>
    <row r="45" spans="2:17" customFormat="1" x14ac:dyDescent="0.25">
      <c r="B45" s="41" t="s">
        <v>1065</v>
      </c>
      <c r="C45" s="3" t="s">
        <v>105</v>
      </c>
      <c r="D45" s="3">
        <v>14.5</v>
      </c>
      <c r="E45" s="3">
        <v>9.93224145242384</v>
      </c>
      <c r="F45" s="3">
        <v>1140</v>
      </c>
      <c r="G45" s="4">
        <v>12.75</v>
      </c>
      <c r="H45" s="7"/>
      <c r="I45" s="38">
        <f t="shared" si="9"/>
        <v>14.935128945995661</v>
      </c>
      <c r="J45" s="37">
        <f t="shared" si="10"/>
        <v>12.240000178869229</v>
      </c>
      <c r="K45" s="37">
        <f t="shared" si="11"/>
        <v>18.117373516937999</v>
      </c>
      <c r="L45" s="39">
        <f t="shared" si="12"/>
        <v>81.841291454894773</v>
      </c>
      <c r="M45" s="117"/>
      <c r="N45" s="38">
        <f t="shared" si="0"/>
        <v>1.030008892827287</v>
      </c>
      <c r="O45" s="37">
        <f t="shared" si="1"/>
        <v>0.84413794337029169</v>
      </c>
      <c r="P45" s="37">
        <f t="shared" si="2"/>
        <v>1.2494740356508964</v>
      </c>
      <c r="Q45" s="39">
        <f t="shared" si="3"/>
        <v>5.6442269968892944</v>
      </c>
    </row>
    <row r="46" spans="2:17" customFormat="1" x14ac:dyDescent="0.25">
      <c r="B46" s="41" t="s">
        <v>1065</v>
      </c>
      <c r="C46" s="3" t="s">
        <v>106</v>
      </c>
      <c r="D46" s="3">
        <v>14.5</v>
      </c>
      <c r="E46" s="3">
        <v>15.482611675837161</v>
      </c>
      <c r="F46" s="3">
        <v>929</v>
      </c>
      <c r="G46" s="4">
        <v>17.899999999999999</v>
      </c>
      <c r="H46" s="7"/>
      <c r="I46" s="38">
        <f t="shared" si="9"/>
        <v>22.869921634542973</v>
      </c>
      <c r="J46" s="37">
        <f t="shared" si="10"/>
        <v>19.080000278825562</v>
      </c>
      <c r="K46" s="37">
        <f t="shared" si="11"/>
        <v>32.296375418415224</v>
      </c>
      <c r="L46" s="39">
        <f t="shared" si="12"/>
        <v>252.9874488733202</v>
      </c>
      <c r="M46" s="117"/>
      <c r="N46" s="38">
        <f t="shared" si="0"/>
        <v>1.5772359747960671</v>
      </c>
      <c r="O46" s="37">
        <f t="shared" si="1"/>
        <v>1.3158620881948664</v>
      </c>
      <c r="P46" s="37">
        <f t="shared" si="2"/>
        <v>2.227336235752774</v>
      </c>
      <c r="Q46" s="39">
        <f t="shared" si="3"/>
        <v>17.44741026712553</v>
      </c>
    </row>
    <row r="47" spans="2:17" customFormat="1" x14ac:dyDescent="0.25">
      <c r="B47" s="41" t="s">
        <v>1065</v>
      </c>
      <c r="C47" s="3" t="s">
        <v>107</v>
      </c>
      <c r="D47" s="3">
        <v>13.5</v>
      </c>
      <c r="E47" s="3">
        <v>9.9858115964593388</v>
      </c>
      <c r="F47" s="3">
        <v>813</v>
      </c>
      <c r="G47" s="4">
        <v>13.45</v>
      </c>
      <c r="H47" s="7"/>
      <c r="I47" s="38">
        <f t="shared" si="9"/>
        <v>15.785508009006495</v>
      </c>
      <c r="J47" s="37">
        <f t="shared" si="10"/>
        <v>11.890000145152939</v>
      </c>
      <c r="K47" s="37">
        <f t="shared" si="11"/>
        <v>15.288021316045501</v>
      </c>
      <c r="L47" s="39">
        <f t="shared" si="12"/>
        <v>68.45802413599489</v>
      </c>
      <c r="M47" s="117"/>
      <c r="N47" s="38">
        <f t="shared" si="0"/>
        <v>1.1692968895560367</v>
      </c>
      <c r="O47" s="37">
        <f t="shared" si="1"/>
        <v>0.88074075149281028</v>
      </c>
      <c r="P47" s="37">
        <f t="shared" si="2"/>
        <v>1.1324460234107778</v>
      </c>
      <c r="Q47" s="39">
        <f t="shared" si="3"/>
        <v>5.0709647508144364</v>
      </c>
    </row>
    <row r="48" spans="2:17" customFormat="1" x14ac:dyDescent="0.25">
      <c r="B48" s="41" t="s">
        <v>1065</v>
      </c>
      <c r="C48" s="3" t="s">
        <v>108</v>
      </c>
      <c r="D48" s="3">
        <v>13.5</v>
      </c>
      <c r="E48" s="3">
        <v>15.234871518904329</v>
      </c>
      <c r="F48" s="3">
        <v>1280</v>
      </c>
      <c r="G48" s="4">
        <v>16.420000000000002</v>
      </c>
      <c r="H48" s="7"/>
      <c r="I48" s="38">
        <f t="shared" si="9"/>
        <v>20.033987598137522</v>
      </c>
      <c r="J48" s="37">
        <f t="shared" si="10"/>
        <v>18.140000221452848</v>
      </c>
      <c r="K48" s="37">
        <f t="shared" si="11"/>
        <v>33.797707243232765</v>
      </c>
      <c r="L48" s="39">
        <f t="shared" si="12"/>
        <v>244.56370620261916</v>
      </c>
      <c r="M48" s="117"/>
      <c r="N48" s="38">
        <f t="shared" si="0"/>
        <v>1.4839990813435202</v>
      </c>
      <c r="O48" s="37">
        <f t="shared" si="1"/>
        <v>1.3437037201076183</v>
      </c>
      <c r="P48" s="37">
        <f t="shared" si="2"/>
        <v>2.5035338698690937</v>
      </c>
      <c r="Q48" s="39">
        <f t="shared" si="3"/>
        <v>18.115830089082902</v>
      </c>
    </row>
    <row r="49" spans="2:17" customFormat="1" x14ac:dyDescent="0.25">
      <c r="B49" s="41" t="s">
        <v>1065</v>
      </c>
      <c r="C49" s="3" t="s">
        <v>109</v>
      </c>
      <c r="D49" s="3">
        <v>13.5</v>
      </c>
      <c r="E49" s="3">
        <v>11.757894226276767</v>
      </c>
      <c r="F49" s="3">
        <v>1600</v>
      </c>
      <c r="G49" s="4">
        <v>17</v>
      </c>
      <c r="H49" s="7"/>
      <c r="I49" s="38">
        <f t="shared" si="9"/>
        <v>14.645132155822544</v>
      </c>
      <c r="J49" s="37">
        <f t="shared" si="10"/>
        <v>14.000000170911786</v>
      </c>
      <c r="K49" s="37">
        <f t="shared" si="11"/>
        <v>25.222883694335835</v>
      </c>
      <c r="L49" s="39">
        <f t="shared" si="12"/>
        <v>127.8091309884697</v>
      </c>
      <c r="M49" s="117"/>
      <c r="N49" s="38">
        <f t="shared" si="0"/>
        <v>1.0848246041350034</v>
      </c>
      <c r="O49" s="37">
        <f t="shared" si="1"/>
        <v>1.0370370496971693</v>
      </c>
      <c r="P49" s="37">
        <f t="shared" si="2"/>
        <v>1.8683617551359877</v>
      </c>
      <c r="Q49" s="39">
        <f t="shared" si="3"/>
        <v>9.4673430361829407</v>
      </c>
    </row>
    <row r="50" spans="2:17" customFormat="1" x14ac:dyDescent="0.25">
      <c r="B50" s="41" t="s">
        <v>1065</v>
      </c>
      <c r="C50" s="3" t="s">
        <v>110</v>
      </c>
      <c r="D50" s="3">
        <v>13.5</v>
      </c>
      <c r="E50" s="3">
        <v>12.177819020072368</v>
      </c>
      <c r="F50" s="3">
        <v>1080</v>
      </c>
      <c r="G50" s="4">
        <v>17.12</v>
      </c>
      <c r="H50" s="7"/>
      <c r="I50" s="38">
        <f t="shared" si="9"/>
        <v>17.130199469541509</v>
      </c>
      <c r="J50" s="37">
        <f t="shared" si="10"/>
        <v>14.500000177015782</v>
      </c>
      <c r="K50" s="37">
        <f t="shared" si="11"/>
        <v>21.867342959746097</v>
      </c>
      <c r="L50" s="39">
        <f t="shared" si="12"/>
        <v>119.12509408211612</v>
      </c>
      <c r="M50" s="117"/>
      <c r="N50" s="38">
        <f t="shared" si="0"/>
        <v>1.2689036644104821</v>
      </c>
      <c r="O50" s="37">
        <f t="shared" si="1"/>
        <v>1.0740740871863541</v>
      </c>
      <c r="P50" s="37">
        <f t="shared" si="2"/>
        <v>1.6198031822034145</v>
      </c>
      <c r="Q50" s="39">
        <f t="shared" si="3"/>
        <v>8.8240810431197119</v>
      </c>
    </row>
    <row r="51" spans="2:17" customFormat="1" x14ac:dyDescent="0.25">
      <c r="B51" s="41" t="s">
        <v>1065</v>
      </c>
      <c r="C51" s="3" t="s">
        <v>111</v>
      </c>
      <c r="D51" s="3">
        <v>12.25</v>
      </c>
      <c r="E51" s="3">
        <v>13.22001022305915</v>
      </c>
      <c r="F51" s="3">
        <v>920</v>
      </c>
      <c r="G51" s="4">
        <v>17.05</v>
      </c>
      <c r="H51" s="7"/>
      <c r="I51" s="38">
        <f t="shared" si="9"/>
        <v>18.314171178231973</v>
      </c>
      <c r="J51" s="37">
        <f t="shared" si="10"/>
        <v>14.960000129386128</v>
      </c>
      <c r="K51" s="37">
        <f t="shared" si="11"/>
        <v>21.486148125414449</v>
      </c>
      <c r="L51" s="39">
        <f t="shared" si="12"/>
        <v>124.35531279284156</v>
      </c>
      <c r="M51" s="117"/>
      <c r="N51" s="38">
        <f t="shared" si="0"/>
        <v>1.4950343818964875</v>
      </c>
      <c r="O51" s="37">
        <f t="shared" si="1"/>
        <v>1.2212245003580513</v>
      </c>
      <c r="P51" s="37">
        <f t="shared" si="2"/>
        <v>1.7539712755440366</v>
      </c>
      <c r="Q51" s="39">
        <f t="shared" si="3"/>
        <v>10.151454105538086</v>
      </c>
    </row>
    <row r="52" spans="2:17" customFormat="1" x14ac:dyDescent="0.25">
      <c r="B52" s="41" t="s">
        <v>1065</v>
      </c>
      <c r="C52" s="3" t="s">
        <v>112</v>
      </c>
      <c r="D52" s="3">
        <v>12.25</v>
      </c>
      <c r="E52" s="3">
        <v>14.17439598782545</v>
      </c>
      <c r="F52" s="3">
        <v>780</v>
      </c>
      <c r="G52" s="4">
        <v>21.99</v>
      </c>
      <c r="H52" s="7"/>
      <c r="I52" s="38">
        <f t="shared" si="9"/>
        <v>20.217783910702984</v>
      </c>
      <c r="J52" s="37">
        <f t="shared" si="10"/>
        <v>16.040000138726835</v>
      </c>
      <c r="K52" s="37">
        <f t="shared" si="11"/>
        <v>22.838187622330572</v>
      </c>
      <c r="L52" s="39">
        <f t="shared" si="12"/>
        <v>146.2254079166263</v>
      </c>
      <c r="M52" s="117"/>
      <c r="N52" s="38">
        <f t="shared" si="0"/>
        <v>1.6504313396492232</v>
      </c>
      <c r="O52" s="37">
        <f t="shared" si="1"/>
        <v>1.3093877664266804</v>
      </c>
      <c r="P52" s="37">
        <f t="shared" si="2"/>
        <v>1.864341846720863</v>
      </c>
      <c r="Q52" s="39">
        <f t="shared" si="3"/>
        <v>11.936767993193984</v>
      </c>
    </row>
    <row r="53" spans="2:17" customFormat="1" x14ac:dyDescent="0.25">
      <c r="B53" s="41" t="s">
        <v>1065</v>
      </c>
      <c r="C53" s="3" t="s">
        <v>113</v>
      </c>
      <c r="D53" s="3">
        <v>11.5</v>
      </c>
      <c r="E53" s="3">
        <v>14.984720851987461</v>
      </c>
      <c r="F53" s="3">
        <v>440</v>
      </c>
      <c r="G53" s="4">
        <v>25</v>
      </c>
      <c r="H53" s="7"/>
      <c r="I53" s="38">
        <f t="shared" si="9"/>
        <v>22.531590467959759</v>
      </c>
      <c r="J53" s="37">
        <f t="shared" si="10"/>
        <v>16.360000100481578</v>
      </c>
      <c r="K53" s="37">
        <f t="shared" si="11"/>
        <v>20.925324436459746</v>
      </c>
      <c r="L53" s="39">
        <f t="shared" si="12"/>
        <v>142.81912037386115</v>
      </c>
      <c r="M53" s="117"/>
      <c r="N53" s="38">
        <f t="shared" si="0"/>
        <v>1.9592687363443269</v>
      </c>
      <c r="O53" s="37">
        <f t="shared" si="1"/>
        <v>1.4226087043897024</v>
      </c>
      <c r="P53" s="37">
        <f t="shared" si="2"/>
        <v>1.8195934292573692</v>
      </c>
      <c r="Q53" s="39">
        <f t="shared" si="3"/>
        <v>12.419053945553143</v>
      </c>
    </row>
    <row r="54" spans="2:17" customFormat="1" x14ac:dyDescent="0.25">
      <c r="B54" s="41" t="s">
        <v>1065</v>
      </c>
      <c r="C54" s="3" t="s">
        <v>114</v>
      </c>
      <c r="D54" s="3">
        <v>11.5</v>
      </c>
      <c r="E54" s="3">
        <v>14.874808474100021</v>
      </c>
      <c r="F54" s="3">
        <v>220</v>
      </c>
      <c r="G54" s="4">
        <v>22.51</v>
      </c>
      <c r="H54" s="7"/>
      <c r="I54" s="38">
        <f t="shared" si="9"/>
        <v>23.61429713384738</v>
      </c>
      <c r="J54" s="37">
        <f t="shared" si="10"/>
        <v>16.240000099744549</v>
      </c>
      <c r="K54" s="37">
        <f t="shared" si="11"/>
        <v>19.040465917019201</v>
      </c>
      <c r="L54" s="39">
        <f t="shared" si="12"/>
        <v>130.31561458750306</v>
      </c>
      <c r="M54" s="117"/>
      <c r="N54" s="38">
        <f t="shared" si="0"/>
        <v>2.0534171420736853</v>
      </c>
      <c r="O54" s="37">
        <f t="shared" si="1"/>
        <v>1.4121739217169174</v>
      </c>
      <c r="P54" s="37">
        <f t="shared" si="2"/>
        <v>1.6556926884364522</v>
      </c>
      <c r="Q54" s="39">
        <f t="shared" si="3"/>
        <v>11.331792572826354</v>
      </c>
    </row>
    <row r="55" spans="2:17" customFormat="1" x14ac:dyDescent="0.25">
      <c r="B55" s="41" t="s">
        <v>1065</v>
      </c>
      <c r="C55" s="3" t="s">
        <v>115</v>
      </c>
      <c r="D55" s="3">
        <v>14.416666666666666</v>
      </c>
      <c r="E55" s="3">
        <v>15.133671223891431</v>
      </c>
      <c r="F55" s="3">
        <v>300</v>
      </c>
      <c r="G55" s="4">
        <v>25.83</v>
      </c>
      <c r="H55" s="7"/>
      <c r="I55" s="38">
        <f t="shared" si="9"/>
        <v>26.034183709169991</v>
      </c>
      <c r="J55" s="37">
        <f t="shared" si="10"/>
        <v>18.600000268319615</v>
      </c>
      <c r="K55" s="37">
        <f t="shared" si="11"/>
        <v>24.450991486928775</v>
      </c>
      <c r="L55" s="39">
        <f t="shared" si="12"/>
        <v>191.90138444220096</v>
      </c>
      <c r="M55" s="117"/>
      <c r="N55" s="38">
        <f t="shared" si="0"/>
        <v>1.8058393324279762</v>
      </c>
      <c r="O55" s="37">
        <f t="shared" si="1"/>
        <v>1.2901734290163895</v>
      </c>
      <c r="P55" s="37">
        <f t="shared" si="2"/>
        <v>1.696022530885233</v>
      </c>
      <c r="Q55" s="39">
        <f t="shared" si="3"/>
        <v>13.311078689632437</v>
      </c>
    </row>
    <row r="56" spans="2:17" customFormat="1" x14ac:dyDescent="0.25">
      <c r="B56" s="41" t="s">
        <v>1065</v>
      </c>
      <c r="C56" s="3" t="s">
        <v>116</v>
      </c>
      <c r="D56" s="3">
        <v>10.25</v>
      </c>
      <c r="E56" s="3">
        <v>13.653959113482349</v>
      </c>
      <c r="F56" s="3">
        <v>320</v>
      </c>
      <c r="G56" s="4">
        <v>26.7</v>
      </c>
      <c r="H56" s="7"/>
      <c r="I56" s="38">
        <f t="shared" si="9"/>
        <v>19.979095305620955</v>
      </c>
      <c r="J56" s="37">
        <f t="shared" si="10"/>
        <v>13.880000015940986</v>
      </c>
      <c r="K56" s="37">
        <f t="shared" si="11"/>
        <v>15.252898762028483</v>
      </c>
      <c r="L56" s="39">
        <f t="shared" si="12"/>
        <v>85.923026686077336</v>
      </c>
      <c r="M56" s="117"/>
      <c r="N56" s="38">
        <f t="shared" si="0"/>
        <v>1.9491800298166786</v>
      </c>
      <c r="O56" s="37">
        <f t="shared" si="1"/>
        <v>1.3541463430186329</v>
      </c>
      <c r="P56" s="37">
        <f t="shared" si="2"/>
        <v>1.4880876841003399</v>
      </c>
      <c r="Q56" s="39">
        <f t="shared" si="3"/>
        <v>8.3827343108368133</v>
      </c>
    </row>
    <row r="57" spans="2:17" customFormat="1" x14ac:dyDescent="0.25">
      <c r="B57" s="41" t="s">
        <v>1065</v>
      </c>
      <c r="C57" s="3" t="s">
        <v>117</v>
      </c>
      <c r="D57" s="3">
        <v>6.25</v>
      </c>
      <c r="E57" s="3">
        <v>15.920350302516853</v>
      </c>
      <c r="F57" s="3">
        <v>1120</v>
      </c>
      <c r="G57" s="4">
        <v>14.23</v>
      </c>
      <c r="H57" s="7"/>
      <c r="I57" s="38">
        <f t="shared" si="9"/>
        <v>13.400851419860055</v>
      </c>
      <c r="J57" s="37">
        <f t="shared" si="10"/>
        <v>10.629999699673119</v>
      </c>
      <c r="K57" s="37">
        <f t="shared" si="11"/>
        <v>13.663050316912742</v>
      </c>
      <c r="L57" s="39">
        <f t="shared" si="12"/>
        <v>60.329216291950559</v>
      </c>
      <c r="M57" s="117"/>
      <c r="N57" s="38">
        <f t="shared" si="0"/>
        <v>2.1441362271776088</v>
      </c>
      <c r="O57" s="37">
        <f t="shared" si="1"/>
        <v>1.7007999519476991</v>
      </c>
      <c r="P57" s="37">
        <f t="shared" si="2"/>
        <v>2.1860880507060387</v>
      </c>
      <c r="Q57" s="39">
        <f t="shared" si="3"/>
        <v>9.6526746067120897</v>
      </c>
    </row>
    <row r="58" spans="2:17" customFormat="1" x14ac:dyDescent="0.25">
      <c r="B58" s="41" t="s">
        <v>1065</v>
      </c>
      <c r="C58" s="3" t="s">
        <v>118</v>
      </c>
      <c r="D58" s="3">
        <v>14.416666666666666</v>
      </c>
      <c r="E58" s="3">
        <v>11.797754448732565</v>
      </c>
      <c r="F58" s="3">
        <v>780</v>
      </c>
      <c r="G58" s="4">
        <v>24.32</v>
      </c>
      <c r="H58" s="7"/>
      <c r="I58" s="38">
        <f t="shared" si="9"/>
        <v>18.468619051404563</v>
      </c>
      <c r="J58" s="37">
        <f t="shared" si="10"/>
        <v>14.500000209173891</v>
      </c>
      <c r="K58" s="37">
        <f t="shared" si="11"/>
        <v>19.685953426494315</v>
      </c>
      <c r="L58" s="39">
        <f t="shared" si="12"/>
        <v>108.6164256487739</v>
      </c>
      <c r="M58" s="117"/>
      <c r="N58" s="38">
        <f t="shared" si="0"/>
        <v>1.2810602810222818</v>
      </c>
      <c r="O58" s="37">
        <f t="shared" si="1"/>
        <v>1.0057803613299809</v>
      </c>
      <c r="P58" s="37">
        <f t="shared" si="2"/>
        <v>1.3654996596412243</v>
      </c>
      <c r="Q58" s="39">
        <f t="shared" si="3"/>
        <v>7.5340873282386518</v>
      </c>
    </row>
    <row r="59" spans="2:17" customFormat="1" x14ac:dyDescent="0.25">
      <c r="B59" s="41" t="s">
        <v>1065</v>
      </c>
      <c r="C59" s="3" t="s">
        <v>119</v>
      </c>
      <c r="D59" s="3">
        <v>14.416666666666666</v>
      </c>
      <c r="E59" s="3">
        <v>7.8109270832988029</v>
      </c>
      <c r="F59" s="3">
        <v>1220</v>
      </c>
      <c r="G59" s="4">
        <v>17.920000000000002</v>
      </c>
      <c r="H59" s="7"/>
      <c r="I59" s="38">
        <f t="shared" si="9"/>
        <v>12.663914987017383</v>
      </c>
      <c r="J59" s="37">
        <f t="shared" si="10"/>
        <v>9.6000001384875429</v>
      </c>
      <c r="K59" s="37">
        <f t="shared" si="11"/>
        <v>14.460063380749878</v>
      </c>
      <c r="L59" s="39">
        <f t="shared" si="12"/>
        <v>52.789260787852179</v>
      </c>
      <c r="M59" s="117"/>
      <c r="N59" s="38">
        <f t="shared" si="0"/>
        <v>0.87842184881045438</v>
      </c>
      <c r="O59" s="37">
        <f t="shared" si="1"/>
        <v>0.66589596336329782</v>
      </c>
      <c r="P59" s="37">
        <f t="shared" si="2"/>
        <v>1.0030101766994135</v>
      </c>
      <c r="Q59" s="39">
        <f t="shared" si="3"/>
        <v>3.66168282921518</v>
      </c>
    </row>
    <row r="60" spans="2:17" customFormat="1" x14ac:dyDescent="0.25">
      <c r="B60" s="41" t="s">
        <v>1065</v>
      </c>
      <c r="C60" s="3" t="s">
        <v>120</v>
      </c>
      <c r="D60" s="3">
        <v>12.416666666666666</v>
      </c>
      <c r="E60" s="3">
        <v>9.9123145076190564</v>
      </c>
      <c r="F60" s="3">
        <v>980</v>
      </c>
      <c r="G60" s="4">
        <v>14.99</v>
      </c>
      <c r="H60" s="7"/>
      <c r="I60" s="38">
        <f t="shared" si="9"/>
        <v>14.52977588399674</v>
      </c>
      <c r="J60" s="37">
        <f t="shared" si="10"/>
        <v>11.300000103561869</v>
      </c>
      <c r="K60" s="37">
        <f t="shared" si="11"/>
        <v>15.035398667206435</v>
      </c>
      <c r="L60" s="39">
        <f t="shared" si="12"/>
        <v>63.394168694015512</v>
      </c>
      <c r="M60" s="117"/>
      <c r="N60" s="38">
        <f t="shared" si="0"/>
        <v>1.1701832926708784</v>
      </c>
      <c r="O60" s="37">
        <f t="shared" si="1"/>
        <v>0.91006712243451304</v>
      </c>
      <c r="P60" s="37">
        <f t="shared" si="2"/>
        <v>1.2109045906474982</v>
      </c>
      <c r="Q60" s="39">
        <f t="shared" si="3"/>
        <v>5.1055706330750752</v>
      </c>
    </row>
    <row r="61" spans="2:17" customFormat="1" x14ac:dyDescent="0.25">
      <c r="B61" s="41" t="s">
        <v>1065</v>
      </c>
      <c r="C61" s="3" t="s">
        <v>121</v>
      </c>
      <c r="D61" s="3">
        <v>12.416666666666666</v>
      </c>
      <c r="E61" s="3">
        <v>8.5614327074656629</v>
      </c>
      <c r="F61" s="3">
        <v>1100</v>
      </c>
      <c r="G61" s="4">
        <v>8.65</v>
      </c>
      <c r="H61" s="7"/>
      <c r="I61" s="38">
        <f t="shared" si="9"/>
        <v>12.878204213312886</v>
      </c>
      <c r="J61" s="37">
        <f t="shared" si="10"/>
        <v>9.7600000894481287</v>
      </c>
      <c r="K61" s="37">
        <f t="shared" si="11"/>
        <v>13.398044820345003</v>
      </c>
      <c r="L61" s="39">
        <f t="shared" si="12"/>
        <v>49.200720900810339</v>
      </c>
      <c r="M61" s="117"/>
      <c r="N61" s="38">
        <f t="shared" si="0"/>
        <v>1.03717080912587</v>
      </c>
      <c r="O61" s="37">
        <f t="shared" si="1"/>
        <v>0.78604027566025203</v>
      </c>
      <c r="P61" s="37">
        <f t="shared" si="2"/>
        <v>1.0790371667391949</v>
      </c>
      <c r="Q61" s="39">
        <f t="shared" si="3"/>
        <v>3.9624741665082155</v>
      </c>
    </row>
    <row r="62" spans="2:17" customFormat="1" x14ac:dyDescent="0.25">
      <c r="B62" s="41" t="s">
        <v>1065</v>
      </c>
      <c r="C62" s="3" t="s">
        <v>122</v>
      </c>
      <c r="D62" s="3">
        <v>12.416666666666666</v>
      </c>
      <c r="E62" s="3">
        <v>11.403547663632542</v>
      </c>
      <c r="F62" s="3">
        <v>1080</v>
      </c>
      <c r="G62" s="4">
        <v>13.87</v>
      </c>
      <c r="H62" s="7"/>
      <c r="I62" s="38">
        <f t="shared" si="9"/>
        <v>15.673648056104174</v>
      </c>
      <c r="J62" s="37">
        <f t="shared" si="10"/>
        <v>13.000000119141975</v>
      </c>
      <c r="K62" s="37">
        <f t="shared" si="11"/>
        <v>18.609978833288768</v>
      </c>
      <c r="L62" s="39">
        <f t="shared" si="12"/>
        <v>90.107358736820629</v>
      </c>
      <c r="M62" s="117"/>
      <c r="N62" s="38">
        <f t="shared" si="0"/>
        <v>1.262307225994967</v>
      </c>
      <c r="O62" s="37">
        <f t="shared" si="1"/>
        <v>1.0469798753671389</v>
      </c>
      <c r="P62" s="37">
        <f t="shared" si="2"/>
        <v>1.4987902416071492</v>
      </c>
      <c r="Q62" s="39">
        <f t="shared" si="3"/>
        <v>7.2569684888714603</v>
      </c>
    </row>
    <row r="63" spans="2:17" customFormat="1" x14ac:dyDescent="0.25">
      <c r="B63" s="41" t="s">
        <v>1065</v>
      </c>
      <c r="C63" s="3" t="s">
        <v>123</v>
      </c>
      <c r="D63" s="3">
        <v>12.416666666666666</v>
      </c>
      <c r="E63" s="3">
        <v>14.035135586009282</v>
      </c>
      <c r="F63" s="3">
        <v>880</v>
      </c>
      <c r="G63" s="4">
        <v>16.75</v>
      </c>
      <c r="H63" s="7"/>
      <c r="I63" s="38">
        <f t="shared" si="9"/>
        <v>19.662236363000343</v>
      </c>
      <c r="J63" s="37">
        <f t="shared" si="10"/>
        <v>16.000000146636275</v>
      </c>
      <c r="K63" s="37">
        <f t="shared" si="11"/>
        <v>23.589436225970765</v>
      </c>
      <c r="L63" s="39">
        <f t="shared" si="12"/>
        <v>149.18630139602152</v>
      </c>
      <c r="M63" s="117"/>
      <c r="N63" s="38">
        <f t="shared" si="0"/>
        <v>1.5835358144698264</v>
      </c>
      <c r="O63" s="37">
        <f t="shared" si="1"/>
        <v>1.2885906158364786</v>
      </c>
      <c r="P63" s="37">
        <f t="shared" si="2"/>
        <v>1.8998203671922764</v>
      </c>
      <c r="Q63" s="39">
        <f t="shared" si="3"/>
        <v>12.015004139276902</v>
      </c>
    </row>
    <row r="64" spans="2:17" customFormat="1" x14ac:dyDescent="0.25">
      <c r="B64" s="41" t="s">
        <v>1065</v>
      </c>
      <c r="C64" s="3" t="s">
        <v>124</v>
      </c>
      <c r="D64" s="3">
        <v>12.416666666666666</v>
      </c>
      <c r="E64" s="3">
        <v>11.403547663632542</v>
      </c>
      <c r="F64" s="3">
        <v>1020</v>
      </c>
      <c r="G64" s="4">
        <v>15.63</v>
      </c>
      <c r="H64" s="7"/>
      <c r="I64" s="38">
        <f t="shared" si="9"/>
        <v>15.907661275191009</v>
      </c>
      <c r="J64" s="37">
        <f t="shared" si="10"/>
        <v>13.000000119141975</v>
      </c>
      <c r="K64" s="37">
        <f t="shared" si="11"/>
        <v>18.201389426237146</v>
      </c>
      <c r="L64" s="39">
        <f t="shared" si="12"/>
        <v>88.452159415304763</v>
      </c>
      <c r="M64" s="117"/>
      <c r="N64" s="38">
        <f t="shared" si="0"/>
        <v>1.2811539282033029</v>
      </c>
      <c r="O64" s="37">
        <f t="shared" si="1"/>
        <v>1.0469798753671389</v>
      </c>
      <c r="P64" s="37">
        <f t="shared" si="2"/>
        <v>1.4658837121801729</v>
      </c>
      <c r="Q64" s="39">
        <f t="shared" si="3"/>
        <v>7.1236638455279007</v>
      </c>
    </row>
    <row r="65" spans="2:17" customFormat="1" x14ac:dyDescent="0.25">
      <c r="B65" s="41" t="s">
        <v>1065</v>
      </c>
      <c r="C65" s="3" t="s">
        <v>125</v>
      </c>
      <c r="D65" s="3">
        <v>12.416666666666666</v>
      </c>
      <c r="E65" s="3">
        <v>12.017584845520448</v>
      </c>
      <c r="F65" s="3">
        <v>940</v>
      </c>
      <c r="G65" s="4">
        <v>17.309999999999999</v>
      </c>
      <c r="H65" s="7"/>
      <c r="I65" s="38">
        <f t="shared" si="9"/>
        <v>16.910509181755028</v>
      </c>
      <c r="J65" s="37">
        <f t="shared" si="10"/>
        <v>13.70000012555731</v>
      </c>
      <c r="K65" s="37">
        <f t="shared" si="11"/>
        <v>19.000934854761564</v>
      </c>
      <c r="L65" s="39">
        <f t="shared" si="12"/>
        <v>98.475433328950075</v>
      </c>
      <c r="M65" s="117"/>
      <c r="N65" s="38">
        <f t="shared" si="0"/>
        <v>1.3619202025574519</v>
      </c>
      <c r="O65" s="37">
        <f t="shared" si="1"/>
        <v>1.1033557148099846</v>
      </c>
      <c r="P65" s="37">
        <f t="shared" si="2"/>
        <v>1.5302766325982469</v>
      </c>
      <c r="Q65" s="39">
        <f t="shared" si="3"/>
        <v>7.9309073821973222</v>
      </c>
    </row>
    <row r="66" spans="2:17" customFormat="1" x14ac:dyDescent="0.25">
      <c r="B66" s="41" t="s">
        <v>1065</v>
      </c>
      <c r="C66" s="3" t="s">
        <v>126</v>
      </c>
      <c r="D66" s="3">
        <v>12.416666666666666</v>
      </c>
      <c r="E66" s="3">
        <v>13.035132175506122</v>
      </c>
      <c r="F66" s="3">
        <v>1020</v>
      </c>
      <c r="G66" s="4">
        <v>14.52</v>
      </c>
      <c r="H66" s="7"/>
      <c r="I66" s="38">
        <f t="shared" si="9"/>
        <v>17.756268888383662</v>
      </c>
      <c r="J66" s="37">
        <f t="shared" si="10"/>
        <v>14.860000136188443</v>
      </c>
      <c r="K66" s="37">
        <f t="shared" si="11"/>
        <v>22.07356174149842</v>
      </c>
      <c r="L66" s="39">
        <f t="shared" si="12"/>
        <v>125.63465559709948</v>
      </c>
      <c r="M66" s="117"/>
      <c r="N66" s="38">
        <f t="shared" si="0"/>
        <v>1.4300350782590869</v>
      </c>
      <c r="O66" s="37">
        <f t="shared" si="1"/>
        <v>1.1967785344581297</v>
      </c>
      <c r="P66" s="37">
        <f t="shared" si="2"/>
        <v>1.7777365160938325</v>
      </c>
      <c r="Q66" s="39">
        <f t="shared" si="3"/>
        <v>10.118227296410698</v>
      </c>
    </row>
    <row r="67" spans="2:17" customFormat="1" x14ac:dyDescent="0.25">
      <c r="B67" s="41" t="s">
        <v>1065</v>
      </c>
      <c r="C67" s="3" t="s">
        <v>127</v>
      </c>
      <c r="D67" s="3">
        <v>18.416666666666668</v>
      </c>
      <c r="E67" s="3">
        <v>11.218621337054456</v>
      </c>
      <c r="F67" s="3">
        <v>1100</v>
      </c>
      <c r="G67" s="4">
        <v>16.149999999999999</v>
      </c>
      <c r="H67" s="7"/>
      <c r="I67" s="38">
        <f t="shared" si="9"/>
        <v>17.877459857949859</v>
      </c>
      <c r="J67" s="37">
        <f t="shared" si="10"/>
        <v>15.26000032839258</v>
      </c>
      <c r="K67" s="37">
        <f t="shared" si="11"/>
        <v>24.348427351570443</v>
      </c>
      <c r="L67" s="39">
        <f t="shared" si="12"/>
        <v>137.65211890969084</v>
      </c>
      <c r="M67" s="117"/>
      <c r="N67" s="38">
        <f t="shared" si="0"/>
        <v>0.97072180224162119</v>
      </c>
      <c r="O67" s="37">
        <f t="shared" si="1"/>
        <v>0.82859730289914457</v>
      </c>
      <c r="P67" s="37">
        <f t="shared" si="2"/>
        <v>1.3220865530264494</v>
      </c>
      <c r="Q67" s="39">
        <f t="shared" si="3"/>
        <v>7.4743231987162444</v>
      </c>
    </row>
    <row r="68" spans="2:17" customFormat="1" x14ac:dyDescent="0.25">
      <c r="B68" s="41" t="s">
        <v>1065</v>
      </c>
      <c r="C68" s="3" t="s">
        <v>128</v>
      </c>
      <c r="D68" s="3">
        <v>12.416666666666666</v>
      </c>
      <c r="E68" s="3">
        <v>12.070216603967983</v>
      </c>
      <c r="F68" s="3">
        <v>720</v>
      </c>
      <c r="G68" s="4">
        <v>14.59</v>
      </c>
      <c r="H68" s="7"/>
      <c r="I68" s="38">
        <f t="shared" si="9"/>
        <v>17.918284183137004</v>
      </c>
      <c r="J68" s="37">
        <f t="shared" si="10"/>
        <v>13.760000126107196</v>
      </c>
      <c r="K68" s="37">
        <f t="shared" si="11"/>
        <v>17.624856416055287</v>
      </c>
      <c r="L68" s="39">
        <f t="shared" si="12"/>
        <v>93.050931143557023</v>
      </c>
      <c r="M68" s="117"/>
      <c r="N68" s="38">
        <f t="shared" si="0"/>
        <v>1.4430832899170742</v>
      </c>
      <c r="O68" s="37">
        <f t="shared" si="1"/>
        <v>1.1081879296193715</v>
      </c>
      <c r="P68" s="37">
        <f t="shared" si="2"/>
        <v>1.4194515234406944</v>
      </c>
      <c r="Q68" s="39">
        <f t="shared" si="3"/>
        <v>7.494034722971036</v>
      </c>
    </row>
    <row r="69" spans="2:17" customFormat="1" x14ac:dyDescent="0.25">
      <c r="B69" s="41" t="s">
        <v>1065</v>
      </c>
      <c r="C69" s="3" t="s">
        <v>129</v>
      </c>
      <c r="D69" s="3">
        <v>12.416666666666666</v>
      </c>
      <c r="E69" s="3">
        <v>12.736885544303423</v>
      </c>
      <c r="F69" s="3">
        <v>540</v>
      </c>
      <c r="G69" s="4">
        <v>19.66</v>
      </c>
      <c r="H69" s="7"/>
      <c r="I69" s="38">
        <f t="shared" si="9"/>
        <v>19.59359004294561</v>
      </c>
      <c r="J69" s="37">
        <f t="shared" si="10"/>
        <v>14.520000133072418</v>
      </c>
      <c r="K69" s="37">
        <f t="shared" si="11"/>
        <v>17.841415547676675</v>
      </c>
      <c r="L69" s="39">
        <f t="shared" si="12"/>
        <v>101.5866517027757</v>
      </c>
      <c r="M69" s="117"/>
      <c r="N69" s="38">
        <f t="shared" si="0"/>
        <v>1.5780072517808545</v>
      </c>
      <c r="O69" s="37">
        <f t="shared" si="1"/>
        <v>1.1693959838716041</v>
      </c>
      <c r="P69" s="37">
        <f t="shared" si="2"/>
        <v>1.4368925273296651</v>
      </c>
      <c r="Q69" s="39">
        <f t="shared" si="3"/>
        <v>8.1814753049215323</v>
      </c>
    </row>
    <row r="70" spans="2:17" customFormat="1" x14ac:dyDescent="0.25">
      <c r="B70" s="41" t="s">
        <v>1065</v>
      </c>
      <c r="C70" s="3" t="s">
        <v>130</v>
      </c>
      <c r="D70" s="3">
        <v>12.416666666666666</v>
      </c>
      <c r="E70" s="3">
        <v>12.719341624820913</v>
      </c>
      <c r="F70" s="3">
        <v>740</v>
      </c>
      <c r="G70" s="4">
        <v>19.09</v>
      </c>
      <c r="H70" s="7"/>
      <c r="I70" s="38">
        <f t="shared" si="9"/>
        <v>18.627152858128113</v>
      </c>
      <c r="J70" s="37">
        <f t="shared" si="10"/>
        <v>14.500000132889125</v>
      </c>
      <c r="K70" s="37">
        <f t="shared" si="11"/>
        <v>19.17195365128903</v>
      </c>
      <c r="L70" s="39">
        <f t="shared" si="12"/>
        <v>107.65577323635179</v>
      </c>
      <c r="M70" s="117"/>
      <c r="N70" s="38">
        <f t="shared" ref="N70:N133" si="13">I70/D70</f>
        <v>1.5001733845472307</v>
      </c>
      <c r="O70" s="37">
        <f t="shared" ref="O70:O133" si="14">J70/D70</f>
        <v>1.1677852456018087</v>
      </c>
      <c r="P70" s="37">
        <f t="shared" ref="P70:P133" si="15">K70/D70</f>
        <v>1.5440499584930762</v>
      </c>
      <c r="Q70" s="39">
        <f t="shared" ref="Q70:Q133" si="16">L70/D70</f>
        <v>8.6702636163504803</v>
      </c>
    </row>
    <row r="71" spans="2:17" customFormat="1" x14ac:dyDescent="0.25">
      <c r="B71" s="41" t="s">
        <v>1065</v>
      </c>
      <c r="C71" s="3" t="s">
        <v>131</v>
      </c>
      <c r="D71" s="3">
        <v>12.416666666666666</v>
      </c>
      <c r="E71" s="3">
        <v>12.894780819646028</v>
      </c>
      <c r="F71" s="3">
        <v>1060</v>
      </c>
      <c r="G71" s="4">
        <v>13.66</v>
      </c>
      <c r="H71" s="7"/>
      <c r="I71" s="38">
        <f t="shared" si="9"/>
        <v>17.416214074225852</v>
      </c>
      <c r="J71" s="37">
        <f t="shared" si="10"/>
        <v>14.700000134722078</v>
      </c>
      <c r="K71" s="37">
        <f t="shared" si="11"/>
        <v>22.034040092871745</v>
      </c>
      <c r="L71" s="39">
        <f t="shared" si="12"/>
        <v>123.41489235379881</v>
      </c>
      <c r="M71" s="117"/>
      <c r="N71" s="38">
        <f t="shared" si="13"/>
        <v>1.4026481133604713</v>
      </c>
      <c r="O71" s="37">
        <f t="shared" si="14"/>
        <v>1.1838926282997648</v>
      </c>
      <c r="P71" s="37">
        <f t="shared" si="15"/>
        <v>1.7745535645265835</v>
      </c>
      <c r="Q71" s="39">
        <f t="shared" si="16"/>
        <v>9.9394544177556092</v>
      </c>
    </row>
    <row r="72" spans="2:17" customFormat="1" x14ac:dyDescent="0.25">
      <c r="B72" s="41" t="s">
        <v>1065</v>
      </c>
      <c r="C72" s="3" t="s">
        <v>132</v>
      </c>
      <c r="D72" s="3">
        <v>11.5</v>
      </c>
      <c r="E72" s="3">
        <v>11.44920602994152</v>
      </c>
      <c r="F72" s="3">
        <v>2010</v>
      </c>
      <c r="G72" s="4">
        <v>15.07</v>
      </c>
      <c r="H72" s="7"/>
      <c r="I72" s="38">
        <f t="shared" si="9"/>
        <v>12.048037951394342</v>
      </c>
      <c r="J72" s="37">
        <f t="shared" si="10"/>
        <v>12.500000076773823</v>
      </c>
      <c r="K72" s="37">
        <f t="shared" si="11"/>
        <v>24.628360130562779</v>
      </c>
      <c r="L72" s="39">
        <f t="shared" si="12"/>
        <v>108.45127738190359</v>
      </c>
      <c r="M72" s="117"/>
      <c r="N72" s="38">
        <f t="shared" si="13"/>
        <v>1.0476554740342905</v>
      </c>
      <c r="O72" s="37">
        <f t="shared" si="14"/>
        <v>1.086956528415115</v>
      </c>
      <c r="P72" s="37">
        <f t="shared" si="15"/>
        <v>2.1415965330924154</v>
      </c>
      <c r="Q72" s="39">
        <f t="shared" si="16"/>
        <v>9.4305458592959646</v>
      </c>
    </row>
    <row r="73" spans="2:17" customFormat="1" x14ac:dyDescent="0.25">
      <c r="B73" s="41" t="s">
        <v>1065</v>
      </c>
      <c r="C73" s="3" t="s">
        <v>133</v>
      </c>
      <c r="D73" s="3">
        <v>9.5</v>
      </c>
      <c r="E73" s="3">
        <v>14.142308740677985</v>
      </c>
      <c r="F73" s="3">
        <v>1230</v>
      </c>
      <c r="G73" s="4">
        <v>18.420000000000002</v>
      </c>
      <c r="H73" s="7"/>
      <c r="I73" s="38">
        <f t="shared" si="9"/>
        <v>15.78555072471875</v>
      </c>
      <c r="J73" s="37">
        <f t="shared" si="10"/>
        <v>13.649999966171034</v>
      </c>
      <c r="K73" s="37">
        <f t="shared" si="11"/>
        <v>20.823028367431526</v>
      </c>
      <c r="L73" s="39">
        <f t="shared" si="12"/>
        <v>110.54570704628155</v>
      </c>
      <c r="M73" s="117"/>
      <c r="N73" s="38">
        <f t="shared" si="13"/>
        <v>1.6616369183914472</v>
      </c>
      <c r="O73" s="37">
        <f t="shared" si="14"/>
        <v>1.4368421017022142</v>
      </c>
      <c r="P73" s="37">
        <f t="shared" si="15"/>
        <v>2.1918977228875289</v>
      </c>
      <c r="Q73" s="39">
        <f t="shared" si="16"/>
        <v>11.636390215398057</v>
      </c>
    </row>
    <row r="74" spans="2:17" customFormat="1" x14ac:dyDescent="0.25">
      <c r="B74" s="41" t="s">
        <v>1070</v>
      </c>
      <c r="C74" s="3" t="s">
        <v>216</v>
      </c>
      <c r="D74" s="3">
        <v>4.333333333333333</v>
      </c>
      <c r="E74" s="3">
        <v>18.565520986951558</v>
      </c>
      <c r="F74" s="3">
        <v>1220</v>
      </c>
      <c r="G74" s="4">
        <v>10.39</v>
      </c>
      <c r="H74" s="7"/>
      <c r="I74" s="38">
        <f t="shared" ref="I74:I105" si="17">EXP(2.673197 -5.545766/D74+ 0.056028*E74-0.000142*F74)</f>
        <v>9.5864808005073687</v>
      </c>
      <c r="J74" s="37">
        <f t="shared" ref="J74:J105" si="18">EXP(LN(E74) -7.458911 * (1/D74- 0.1))</f>
        <v>6.9999996303400431</v>
      </c>
      <c r="K74" s="37">
        <f t="shared" ref="K74:K105" si="19">EXP(1.325956 -11.038033/D74+ 0.091341*E74+ 0.001634*F74)</f>
        <v>11.798717838972619</v>
      </c>
      <c r="L74" s="39">
        <f t="shared" ref="L74:L105" si="20">EXP(2.671109 -18.578108/D74+ 0.171615*E74+ 0.001541*F74)</f>
        <v>31.500240851067719</v>
      </c>
      <c r="M74" s="117"/>
      <c r="N74" s="38">
        <f t="shared" si="13"/>
        <v>2.2122648001170853</v>
      </c>
      <c r="O74" s="37">
        <f t="shared" si="14"/>
        <v>1.6153845300784715</v>
      </c>
      <c r="P74" s="37">
        <f t="shared" si="15"/>
        <v>2.7227810397629124</v>
      </c>
      <c r="Q74" s="39">
        <f t="shared" si="16"/>
        <v>7.2692863502463974</v>
      </c>
    </row>
    <row r="75" spans="2:17" customFormat="1" x14ac:dyDescent="0.25">
      <c r="B75" s="41" t="s">
        <v>1070</v>
      </c>
      <c r="C75" s="3" t="s">
        <v>217</v>
      </c>
      <c r="D75" s="3">
        <v>4.333333333333333</v>
      </c>
      <c r="E75" s="3">
        <v>18.565520986951558</v>
      </c>
      <c r="F75" s="3">
        <v>1280</v>
      </c>
      <c r="G75" s="4">
        <v>10.44</v>
      </c>
      <c r="H75" s="7"/>
      <c r="I75" s="38">
        <f t="shared" si="17"/>
        <v>9.5051509412673951</v>
      </c>
      <c r="J75" s="37">
        <f t="shared" si="18"/>
        <v>6.9999996303400431</v>
      </c>
      <c r="K75" s="37">
        <f t="shared" si="19"/>
        <v>13.014067240661188</v>
      </c>
      <c r="L75" s="39">
        <f t="shared" si="20"/>
        <v>34.551646058366899</v>
      </c>
      <c r="M75" s="117"/>
      <c r="N75" s="38">
        <f t="shared" si="13"/>
        <v>2.1934963710617068</v>
      </c>
      <c r="O75" s="37">
        <f t="shared" si="14"/>
        <v>1.6153845300784715</v>
      </c>
      <c r="P75" s="37">
        <f t="shared" si="15"/>
        <v>3.0032462863064282</v>
      </c>
      <c r="Q75" s="39">
        <f t="shared" si="16"/>
        <v>7.9734567827000538</v>
      </c>
    </row>
    <row r="76" spans="2:17" customFormat="1" x14ac:dyDescent="0.25">
      <c r="B76" s="41" t="s">
        <v>1070</v>
      </c>
      <c r="C76" s="3" t="s">
        <v>218</v>
      </c>
      <c r="D76" s="3">
        <v>6.416666666666667</v>
      </c>
      <c r="E76" s="3">
        <v>13.528959179426923</v>
      </c>
      <c r="F76" s="3">
        <v>920</v>
      </c>
      <c r="G76" s="4">
        <v>14.43</v>
      </c>
      <c r="H76" s="7"/>
      <c r="I76" s="38">
        <f t="shared" si="17"/>
        <v>11.430466654351896</v>
      </c>
      <c r="J76" s="37">
        <f t="shared" si="18"/>
        <v>8.9199997988401112</v>
      </c>
      <c r="K76" s="37">
        <f t="shared" si="19"/>
        <v>10.43089134761137</v>
      </c>
      <c r="L76" s="39">
        <f t="shared" si="20"/>
        <v>33.626410033877107</v>
      </c>
      <c r="M76" s="117"/>
      <c r="N76" s="38">
        <f t="shared" si="13"/>
        <v>1.7813714266522436</v>
      </c>
      <c r="O76" s="37">
        <f t="shared" si="14"/>
        <v>1.390129838780277</v>
      </c>
      <c r="P76" s="37">
        <f t="shared" si="15"/>
        <v>1.625593456770603</v>
      </c>
      <c r="Q76" s="39">
        <f t="shared" si="16"/>
        <v>5.2404794857990291</v>
      </c>
    </row>
    <row r="77" spans="2:17" customFormat="1" x14ac:dyDescent="0.25">
      <c r="B77" s="41" t="s">
        <v>1070</v>
      </c>
      <c r="C77" s="3" t="s">
        <v>219</v>
      </c>
      <c r="D77" s="3">
        <v>6.083333333333333</v>
      </c>
      <c r="E77" s="3">
        <v>14.515704212334448</v>
      </c>
      <c r="F77" s="3">
        <v>880</v>
      </c>
      <c r="G77" s="4">
        <v>12.18</v>
      </c>
      <c r="H77" s="7"/>
      <c r="I77" s="38">
        <f t="shared" si="17"/>
        <v>11.58707332821926</v>
      </c>
      <c r="J77" s="37">
        <f t="shared" si="18"/>
        <v>8.979999766519752</v>
      </c>
      <c r="K77" s="37">
        <f t="shared" si="19"/>
        <v>9.7306798022057261</v>
      </c>
      <c r="L77" s="39">
        <f t="shared" si="20"/>
        <v>31.95619365829744</v>
      </c>
      <c r="M77" s="117"/>
      <c r="N77" s="38">
        <f t="shared" si="13"/>
        <v>1.9047243827209743</v>
      </c>
      <c r="O77" s="37">
        <f t="shared" si="14"/>
        <v>1.4761643451813291</v>
      </c>
      <c r="P77" s="37">
        <f t="shared" si="15"/>
        <v>1.5995638031023112</v>
      </c>
      <c r="Q77" s="39">
        <f t="shared" si="16"/>
        <v>5.2530729301310863</v>
      </c>
    </row>
    <row r="78" spans="2:17" customFormat="1" x14ac:dyDescent="0.25">
      <c r="B78" s="41" t="s">
        <v>1070</v>
      </c>
      <c r="C78" s="3" t="s">
        <v>220</v>
      </c>
      <c r="D78" s="3">
        <v>12.75</v>
      </c>
      <c r="E78" s="3">
        <v>11.715202632668872</v>
      </c>
      <c r="F78" s="3">
        <v>200</v>
      </c>
      <c r="G78" s="4">
        <v>16.510000000000002</v>
      </c>
      <c r="H78" s="7"/>
      <c r="I78" s="38">
        <f t="shared" si="17"/>
        <v>17.570376558801719</v>
      </c>
      <c r="J78" s="37">
        <f t="shared" si="18"/>
        <v>13.760000119850472</v>
      </c>
      <c r="K78" s="37">
        <f t="shared" si="19"/>
        <v>6.4051749222374337</v>
      </c>
      <c r="L78" s="39">
        <f t="shared" si="20"/>
        <v>34.216465993509743</v>
      </c>
      <c r="M78" s="117"/>
      <c r="N78" s="38">
        <f t="shared" si="13"/>
        <v>1.3780687497099386</v>
      </c>
      <c r="O78" s="37">
        <f t="shared" si="14"/>
        <v>1.0792156956745469</v>
      </c>
      <c r="P78" s="37">
        <f t="shared" si="15"/>
        <v>0.5023666605676419</v>
      </c>
      <c r="Q78" s="39">
        <f t="shared" si="16"/>
        <v>2.6836443916478232</v>
      </c>
    </row>
    <row r="79" spans="2:17" customFormat="1" x14ac:dyDescent="0.25">
      <c r="B79" s="41" t="s">
        <v>1070</v>
      </c>
      <c r="C79" s="3" t="s">
        <v>221</v>
      </c>
      <c r="D79" s="3">
        <v>9.75</v>
      </c>
      <c r="E79" s="3">
        <v>14.963463078650165</v>
      </c>
      <c r="F79" s="3">
        <v>400</v>
      </c>
      <c r="G79" s="4">
        <v>15.72</v>
      </c>
      <c r="H79" s="7"/>
      <c r="I79" s="38">
        <f t="shared" si="17"/>
        <v>17.921003351027437</v>
      </c>
      <c r="J79" s="37">
        <f t="shared" si="18"/>
        <v>14.679999984799421</v>
      </c>
      <c r="K79" s="37">
        <f t="shared" si="19"/>
        <v>9.1543367829314803</v>
      </c>
      <c r="L79" s="39">
        <f t="shared" si="20"/>
        <v>51.936236337974869</v>
      </c>
      <c r="M79" s="117"/>
      <c r="N79" s="38">
        <f t="shared" si="13"/>
        <v>1.8380516257464039</v>
      </c>
      <c r="O79" s="37">
        <f t="shared" si="14"/>
        <v>1.505641024081992</v>
      </c>
      <c r="P79" s="37">
        <f t="shared" si="15"/>
        <v>0.93890633671092105</v>
      </c>
      <c r="Q79" s="39">
        <f t="shared" si="16"/>
        <v>5.3267934705615252</v>
      </c>
    </row>
    <row r="80" spans="2:17" customFormat="1" x14ac:dyDescent="0.25">
      <c r="B80" s="41" t="s">
        <v>1070</v>
      </c>
      <c r="C80" s="3" t="s">
        <v>222</v>
      </c>
      <c r="D80" s="3">
        <v>9.75</v>
      </c>
      <c r="E80" s="3">
        <v>14.331491204756222</v>
      </c>
      <c r="F80" s="3">
        <v>260</v>
      </c>
      <c r="G80" s="4">
        <v>18.3</v>
      </c>
      <c r="H80" s="7"/>
      <c r="I80" s="38">
        <f t="shared" si="17"/>
        <v>17.644873296515268</v>
      </c>
      <c r="J80" s="37">
        <f t="shared" si="18"/>
        <v>14.059999985441408</v>
      </c>
      <c r="K80" s="37">
        <f t="shared" si="19"/>
        <v>6.8739767039713104</v>
      </c>
      <c r="L80" s="39">
        <f t="shared" si="20"/>
        <v>37.555539429145838</v>
      </c>
      <c r="M80" s="117"/>
      <c r="N80" s="38">
        <f t="shared" si="13"/>
        <v>1.8097305945143864</v>
      </c>
      <c r="O80" s="37">
        <f t="shared" si="14"/>
        <v>1.4420512805580932</v>
      </c>
      <c r="P80" s="37">
        <f t="shared" si="15"/>
        <v>0.70502325168936519</v>
      </c>
      <c r="Q80" s="39">
        <f t="shared" si="16"/>
        <v>3.8518501978611117</v>
      </c>
    </row>
    <row r="81" spans="2:17" customFormat="1" x14ac:dyDescent="0.25">
      <c r="B81" s="41" t="s">
        <v>1070</v>
      </c>
      <c r="C81" s="3" t="s">
        <v>223</v>
      </c>
      <c r="D81" s="3">
        <v>11.333333333333334</v>
      </c>
      <c r="E81" s="3">
        <v>16.579384880112435</v>
      </c>
      <c r="F81" s="3">
        <v>160</v>
      </c>
      <c r="G81" s="4">
        <v>24.62</v>
      </c>
      <c r="H81" s="7"/>
      <c r="I81" s="38">
        <f t="shared" si="17"/>
        <v>21.978275362341062</v>
      </c>
      <c r="J81" s="37">
        <f t="shared" si="18"/>
        <v>18.100000085992082</v>
      </c>
      <c r="K81" s="37">
        <f t="shared" si="19"/>
        <v>8.3966222014186247</v>
      </c>
      <c r="L81" s="39">
        <f t="shared" si="20"/>
        <v>61.787143736650378</v>
      </c>
      <c r="M81" s="117"/>
      <c r="N81" s="38">
        <f t="shared" si="13"/>
        <v>1.9392595907947996</v>
      </c>
      <c r="O81" s="37">
        <f t="shared" si="14"/>
        <v>1.5970588311169485</v>
      </c>
      <c r="P81" s="37">
        <f t="shared" si="15"/>
        <v>0.74087842953693739</v>
      </c>
      <c r="Q81" s="39">
        <f t="shared" si="16"/>
        <v>5.4518068002926805</v>
      </c>
    </row>
    <row r="82" spans="2:17" customFormat="1" x14ac:dyDescent="0.25">
      <c r="B82" s="41" t="s">
        <v>1070</v>
      </c>
      <c r="C82" s="3" t="s">
        <v>224</v>
      </c>
      <c r="D82" s="3">
        <v>11.333333333333334</v>
      </c>
      <c r="E82" s="3">
        <v>15.864914150472231</v>
      </c>
      <c r="F82" s="3">
        <v>340</v>
      </c>
      <c r="G82" s="4">
        <v>24.32</v>
      </c>
      <c r="H82" s="7"/>
      <c r="I82" s="38">
        <f t="shared" si="17"/>
        <v>20.582971668099358</v>
      </c>
      <c r="J82" s="37">
        <f t="shared" si="18"/>
        <v>17.320000082286345</v>
      </c>
      <c r="K82" s="37">
        <f t="shared" si="19"/>
        <v>10.555943172369393</v>
      </c>
      <c r="L82" s="39">
        <f t="shared" si="20"/>
        <v>72.129377656987856</v>
      </c>
      <c r="M82" s="117"/>
      <c r="N82" s="38">
        <f t="shared" si="13"/>
        <v>1.8161445589499432</v>
      </c>
      <c r="O82" s="37">
        <f t="shared" si="14"/>
        <v>1.5282353013782068</v>
      </c>
      <c r="P82" s="37">
        <f t="shared" si="15"/>
        <v>0.93140675050318167</v>
      </c>
      <c r="Q82" s="39">
        <f t="shared" si="16"/>
        <v>6.3643568520871634</v>
      </c>
    </row>
    <row r="83" spans="2:17" customFormat="1" x14ac:dyDescent="0.25">
      <c r="B83" s="41" t="s">
        <v>1070</v>
      </c>
      <c r="C83" s="3" t="s">
        <v>225</v>
      </c>
      <c r="D83" s="3">
        <v>4.75</v>
      </c>
      <c r="E83" s="3">
        <v>18.244204166610157</v>
      </c>
      <c r="F83" s="3">
        <v>900</v>
      </c>
      <c r="G83" s="4">
        <v>14.38</v>
      </c>
      <c r="H83" s="7"/>
      <c r="I83" s="38">
        <f t="shared" si="17"/>
        <v>11.023767093616977</v>
      </c>
      <c r="J83" s="37">
        <f t="shared" si="18"/>
        <v>7.9999996429290787</v>
      </c>
      <c r="K83" s="37">
        <f t="shared" si="19"/>
        <v>8.4926699423756382</v>
      </c>
      <c r="L83" s="39">
        <f t="shared" si="20"/>
        <v>26.51756825815789</v>
      </c>
      <c r="M83" s="117"/>
      <c r="N83" s="38">
        <f t="shared" si="13"/>
        <v>2.320793072340416</v>
      </c>
      <c r="O83" s="37">
        <f t="shared" si="14"/>
        <v>1.6842104511429639</v>
      </c>
      <c r="P83" s="37">
        <f t="shared" si="15"/>
        <v>1.7879305141843449</v>
      </c>
      <c r="Q83" s="39">
        <f t="shared" si="16"/>
        <v>5.5826459490858715</v>
      </c>
    </row>
    <row r="84" spans="2:17" customFormat="1" x14ac:dyDescent="0.25">
      <c r="B84" s="41" t="s">
        <v>1070</v>
      </c>
      <c r="C84" s="3" t="s">
        <v>226</v>
      </c>
      <c r="D84" s="3">
        <v>11.333333333333334</v>
      </c>
      <c r="E84" s="3">
        <v>13.703182199253151</v>
      </c>
      <c r="F84" s="3">
        <v>170</v>
      </c>
      <c r="G84" s="4">
        <v>22.76</v>
      </c>
      <c r="H84" s="7"/>
      <c r="I84" s="38">
        <f t="shared" si="17"/>
        <v>18.680619538851122</v>
      </c>
      <c r="J84" s="37">
        <f t="shared" si="18"/>
        <v>14.960000071074118</v>
      </c>
      <c r="K84" s="37">
        <f t="shared" si="19"/>
        <v>6.563042407191884</v>
      </c>
      <c r="L84" s="39">
        <f t="shared" si="20"/>
        <v>38.302140777384814</v>
      </c>
      <c r="M84" s="117"/>
      <c r="N84" s="38">
        <f t="shared" si="13"/>
        <v>1.648289959310393</v>
      </c>
      <c r="O84" s="37">
        <f t="shared" si="14"/>
        <v>1.3200000062712456</v>
      </c>
      <c r="P84" s="37">
        <f t="shared" si="15"/>
        <v>0.57909197710516624</v>
      </c>
      <c r="Q84" s="39">
        <f t="shared" si="16"/>
        <v>3.3796006568280714</v>
      </c>
    </row>
    <row r="85" spans="2:17" customFormat="1" x14ac:dyDescent="0.25">
      <c r="B85" s="41" t="s">
        <v>1070</v>
      </c>
      <c r="C85" s="3" t="s">
        <v>227</v>
      </c>
      <c r="D85" s="3">
        <v>11.333333333333334</v>
      </c>
      <c r="E85" s="3">
        <v>18.905994692017718</v>
      </c>
      <c r="F85" s="3">
        <v>290</v>
      </c>
      <c r="G85" s="4">
        <v>27.35</v>
      </c>
      <c r="H85" s="7"/>
      <c r="I85" s="38">
        <f t="shared" si="17"/>
        <v>24.580409809750545</v>
      </c>
      <c r="J85" s="37">
        <f t="shared" si="18"/>
        <v>20.640000098059481</v>
      </c>
      <c r="K85" s="37">
        <f t="shared" si="19"/>
        <v>12.842556373163745</v>
      </c>
      <c r="L85" s="39">
        <f t="shared" si="20"/>
        <v>112.53974583275694</v>
      </c>
      <c r="M85" s="117"/>
      <c r="N85" s="38">
        <f t="shared" si="13"/>
        <v>2.1688596890956364</v>
      </c>
      <c r="O85" s="37">
        <f t="shared" si="14"/>
        <v>1.8211764792405423</v>
      </c>
      <c r="P85" s="37">
        <f t="shared" si="15"/>
        <v>1.1331667388085658</v>
      </c>
      <c r="Q85" s="39">
        <f t="shared" si="16"/>
        <v>9.9299775734785527</v>
      </c>
    </row>
    <row r="86" spans="2:17" customFormat="1" x14ac:dyDescent="0.25">
      <c r="B86" s="41" t="s">
        <v>1070</v>
      </c>
      <c r="C86" s="3" t="s">
        <v>228</v>
      </c>
      <c r="D86" s="3">
        <v>12</v>
      </c>
      <c r="E86" s="3">
        <v>15.348303446001031</v>
      </c>
      <c r="F86" s="3">
        <v>360</v>
      </c>
      <c r="G86" s="4">
        <v>22.75</v>
      </c>
      <c r="H86" s="7"/>
      <c r="I86" s="38">
        <f t="shared" si="17"/>
        <v>20.488516916889385</v>
      </c>
      <c r="J86" s="37">
        <f t="shared" si="18"/>
        <v>17.380000116976152</v>
      </c>
      <c r="K86" s="37">
        <f t="shared" si="19"/>
        <v>10.982348495920501</v>
      </c>
      <c r="L86" s="39">
        <f t="shared" si="20"/>
        <v>74.566580869625255</v>
      </c>
      <c r="M86" s="117"/>
      <c r="N86" s="38">
        <f t="shared" si="13"/>
        <v>1.707376409740782</v>
      </c>
      <c r="O86" s="37">
        <f t="shared" si="14"/>
        <v>1.4483333430813461</v>
      </c>
      <c r="P86" s="37">
        <f t="shared" si="15"/>
        <v>0.91519570799337513</v>
      </c>
      <c r="Q86" s="39">
        <f t="shared" si="16"/>
        <v>6.213881739135438</v>
      </c>
    </row>
    <row r="87" spans="2:17" customFormat="1" x14ac:dyDescent="0.25">
      <c r="B87" s="41" t="s">
        <v>1070</v>
      </c>
      <c r="C87" s="3" t="s">
        <v>229</v>
      </c>
      <c r="D87" s="3">
        <v>12.166666666666666</v>
      </c>
      <c r="E87" s="3">
        <v>13.501968010953583</v>
      </c>
      <c r="F87" s="3">
        <v>360</v>
      </c>
      <c r="G87" s="4">
        <v>17.989999999999998</v>
      </c>
      <c r="H87" s="7"/>
      <c r="I87" s="38">
        <f t="shared" si="17"/>
        <v>18.592325353300925</v>
      </c>
      <c r="J87" s="37">
        <f t="shared" si="18"/>
        <v>15.420000110892877</v>
      </c>
      <c r="K87" s="37">
        <f t="shared" si="19"/>
        <v>9.3956204492062039</v>
      </c>
      <c r="L87" s="39">
        <f t="shared" si="20"/>
        <v>55.481046580777047</v>
      </c>
      <c r="M87" s="117"/>
      <c r="N87" s="38">
        <f t="shared" si="13"/>
        <v>1.5281363304082953</v>
      </c>
      <c r="O87" s="37">
        <f t="shared" si="14"/>
        <v>1.2673972693884556</v>
      </c>
      <c r="P87" s="37">
        <f t="shared" si="15"/>
        <v>0.77224277664708529</v>
      </c>
      <c r="Q87" s="39">
        <f t="shared" si="16"/>
        <v>4.5600860203378399</v>
      </c>
    </row>
    <row r="88" spans="2:17" customFormat="1" x14ac:dyDescent="0.25">
      <c r="B88" s="41" t="s">
        <v>1070</v>
      </c>
      <c r="C88" s="3" t="s">
        <v>230</v>
      </c>
      <c r="D88" s="3">
        <v>9.9166666666666661</v>
      </c>
      <c r="E88" s="3">
        <v>16.503117903898946</v>
      </c>
      <c r="F88" s="3">
        <v>560</v>
      </c>
      <c r="G88" s="4">
        <v>20.309999999999999</v>
      </c>
      <c r="H88" s="7"/>
      <c r="I88" s="38">
        <f t="shared" si="17"/>
        <v>19.280163749094445</v>
      </c>
      <c r="J88" s="37">
        <f t="shared" si="18"/>
        <v>16.399999994434612</v>
      </c>
      <c r="K88" s="37">
        <f t="shared" si="19"/>
        <v>13.947891285017281</v>
      </c>
      <c r="L88" s="39">
        <f t="shared" si="20"/>
        <v>89.37392058900592</v>
      </c>
      <c r="M88" s="117"/>
      <c r="N88" s="38">
        <f t="shared" si="13"/>
        <v>1.9442181931859945</v>
      </c>
      <c r="O88" s="37">
        <f t="shared" si="14"/>
        <v>1.6537815120438266</v>
      </c>
      <c r="P88" s="37">
        <f t="shared" si="15"/>
        <v>1.4065100455479611</v>
      </c>
      <c r="Q88" s="39">
        <f t="shared" si="16"/>
        <v>9.0124961938493371</v>
      </c>
    </row>
    <row r="89" spans="2:17" customFormat="1" x14ac:dyDescent="0.25">
      <c r="B89" s="41" t="s">
        <v>1070</v>
      </c>
      <c r="C89" s="3" t="s">
        <v>231</v>
      </c>
      <c r="D89" s="3">
        <v>8.25</v>
      </c>
      <c r="E89" s="3">
        <v>17.946201554684087</v>
      </c>
      <c r="F89" s="3">
        <v>200</v>
      </c>
      <c r="G89" s="4">
        <v>28.48</v>
      </c>
      <c r="H89" s="7"/>
      <c r="I89" s="38">
        <f t="shared" si="17"/>
        <v>19.649909252275151</v>
      </c>
      <c r="J89" s="37">
        <f t="shared" si="18"/>
        <v>15.319999868767416</v>
      </c>
      <c r="K89" s="37">
        <f t="shared" si="19"/>
        <v>7.0571169372111733</v>
      </c>
      <c r="L89" s="39">
        <f t="shared" si="20"/>
        <v>45.026648393497013</v>
      </c>
      <c r="M89" s="117"/>
      <c r="N89" s="38">
        <f t="shared" si="13"/>
        <v>2.3818071820939579</v>
      </c>
      <c r="O89" s="37">
        <f t="shared" si="14"/>
        <v>1.8569696810627172</v>
      </c>
      <c r="P89" s="37">
        <f t="shared" si="15"/>
        <v>0.85540811360135438</v>
      </c>
      <c r="Q89" s="39">
        <f t="shared" si="16"/>
        <v>5.4577755628481226</v>
      </c>
    </row>
    <row r="90" spans="2:17" customFormat="1" x14ac:dyDescent="0.25">
      <c r="B90" s="41" t="s">
        <v>1070</v>
      </c>
      <c r="C90" s="3" t="s">
        <v>232</v>
      </c>
      <c r="D90" s="3">
        <v>7.666666666666667</v>
      </c>
      <c r="E90" s="3">
        <v>18.069736622091281</v>
      </c>
      <c r="F90" s="3">
        <v>800</v>
      </c>
      <c r="G90" s="4">
        <v>16.8</v>
      </c>
      <c r="H90" s="7"/>
      <c r="I90" s="38">
        <f t="shared" si="17"/>
        <v>17.264414553981389</v>
      </c>
      <c r="J90" s="37">
        <f t="shared" si="18"/>
        <v>14.399999823017014</v>
      </c>
      <c r="K90" s="37">
        <f t="shared" si="19"/>
        <v>17.182997509345341</v>
      </c>
      <c r="L90" s="39">
        <f t="shared" si="20"/>
        <v>97.681811232258269</v>
      </c>
      <c r="M90" s="117"/>
      <c r="N90" s="38">
        <f t="shared" si="13"/>
        <v>2.2518801592149638</v>
      </c>
      <c r="O90" s="37">
        <f t="shared" si="14"/>
        <v>1.87826084648048</v>
      </c>
      <c r="P90" s="37">
        <f t="shared" si="15"/>
        <v>2.2412605446972185</v>
      </c>
      <c r="Q90" s="39">
        <f t="shared" si="16"/>
        <v>12.741105812903252</v>
      </c>
    </row>
    <row r="91" spans="2:17" customFormat="1" x14ac:dyDescent="0.25">
      <c r="B91" s="41" t="s">
        <v>1070</v>
      </c>
      <c r="C91" s="3" t="s">
        <v>233</v>
      </c>
      <c r="D91" s="3">
        <v>7.25</v>
      </c>
      <c r="E91" s="3">
        <v>10.00561441602318</v>
      </c>
      <c r="F91" s="3">
        <v>760</v>
      </c>
      <c r="G91" s="4">
        <v>10.8</v>
      </c>
      <c r="H91" s="7"/>
      <c r="I91" s="38">
        <f t="shared" si="17"/>
        <v>10.600893850923436</v>
      </c>
      <c r="J91" s="37">
        <f t="shared" si="18"/>
        <v>7.539999884504561</v>
      </c>
      <c r="K91" s="37">
        <f t="shared" si="19"/>
        <v>7.0938734418826375</v>
      </c>
      <c r="L91" s="39">
        <f t="shared" si="20"/>
        <v>20.023065075314111</v>
      </c>
      <c r="M91" s="117"/>
      <c r="N91" s="38">
        <f t="shared" si="13"/>
        <v>1.4621922552997844</v>
      </c>
      <c r="O91" s="37">
        <f t="shared" si="14"/>
        <v>1.0399999840695946</v>
      </c>
      <c r="P91" s="37">
        <f t="shared" si="15"/>
        <v>0.9784653023286396</v>
      </c>
      <c r="Q91" s="39">
        <f t="shared" si="16"/>
        <v>2.7618020793536706</v>
      </c>
    </row>
    <row r="92" spans="2:17" customFormat="1" x14ac:dyDescent="0.25">
      <c r="B92" s="41" t="s">
        <v>1070</v>
      </c>
      <c r="C92" s="3" t="s">
        <v>234</v>
      </c>
      <c r="D92" s="3">
        <v>7.25</v>
      </c>
      <c r="E92" s="3">
        <v>12.261522175604</v>
      </c>
      <c r="F92" s="3">
        <v>700</v>
      </c>
      <c r="G92" s="4">
        <v>12.03</v>
      </c>
      <c r="H92" s="7"/>
      <c r="I92" s="38">
        <f t="shared" si="17"/>
        <v>12.132069555977422</v>
      </c>
      <c r="J92" s="37">
        <f t="shared" si="18"/>
        <v>9.239999858464472</v>
      </c>
      <c r="K92" s="37">
        <f t="shared" si="19"/>
        <v>7.903047042543446</v>
      </c>
      <c r="L92" s="39">
        <f t="shared" si="20"/>
        <v>26.885106538266967</v>
      </c>
      <c r="M92" s="117"/>
      <c r="N92" s="38">
        <f t="shared" si="13"/>
        <v>1.6733889042727479</v>
      </c>
      <c r="O92" s="37">
        <f t="shared" si="14"/>
        <v>1.2744827390985478</v>
      </c>
      <c r="P92" s="37">
        <f t="shared" si="15"/>
        <v>1.0900754541439235</v>
      </c>
      <c r="Q92" s="39">
        <f t="shared" si="16"/>
        <v>3.7082905570023401</v>
      </c>
    </row>
    <row r="93" spans="2:17" customFormat="1" x14ac:dyDescent="0.25">
      <c r="B93" s="41" t="s">
        <v>1070</v>
      </c>
      <c r="C93" s="3" t="s">
        <v>235</v>
      </c>
      <c r="D93" s="3">
        <v>7.25</v>
      </c>
      <c r="E93" s="3">
        <v>11.33261898048249</v>
      </c>
      <c r="F93" s="3">
        <v>720</v>
      </c>
      <c r="G93" s="4">
        <v>13.68</v>
      </c>
      <c r="H93" s="7"/>
      <c r="I93" s="38">
        <f t="shared" si="17"/>
        <v>11.484148978308678</v>
      </c>
      <c r="J93" s="37">
        <f t="shared" si="18"/>
        <v>8.5399998691868646</v>
      </c>
      <c r="K93" s="37">
        <f t="shared" si="19"/>
        <v>7.5013382649513591</v>
      </c>
      <c r="L93" s="39">
        <f t="shared" si="20"/>
        <v>23.640911543473344</v>
      </c>
      <c r="M93" s="117"/>
      <c r="N93" s="38">
        <f t="shared" si="13"/>
        <v>1.5840205487322314</v>
      </c>
      <c r="O93" s="37">
        <f t="shared" si="14"/>
        <v>1.1779310164395675</v>
      </c>
      <c r="P93" s="37">
        <f t="shared" si="15"/>
        <v>1.0346673468898426</v>
      </c>
      <c r="Q93" s="39">
        <f t="shared" si="16"/>
        <v>3.2608153853066679</v>
      </c>
    </row>
    <row r="94" spans="2:17" customFormat="1" x14ac:dyDescent="0.25">
      <c r="B94" s="41" t="s">
        <v>1070</v>
      </c>
      <c r="C94" s="3" t="s">
        <v>236</v>
      </c>
      <c r="D94" s="3">
        <v>7.25</v>
      </c>
      <c r="E94" s="3">
        <v>12.473842905917492</v>
      </c>
      <c r="F94" s="3">
        <v>760</v>
      </c>
      <c r="G94" s="4">
        <v>12.31</v>
      </c>
      <c r="H94" s="7"/>
      <c r="I94" s="38">
        <f t="shared" si="17"/>
        <v>12.173095491789244</v>
      </c>
      <c r="J94" s="37">
        <f t="shared" si="18"/>
        <v>9.3999998560136433</v>
      </c>
      <c r="K94" s="37">
        <f t="shared" si="19"/>
        <v>8.8878215501917541</v>
      </c>
      <c r="L94" s="39">
        <f t="shared" si="20"/>
        <v>30.583782815606074</v>
      </c>
      <c r="M94" s="117"/>
      <c r="N94" s="38">
        <f t="shared" si="13"/>
        <v>1.6790476540398958</v>
      </c>
      <c r="O94" s="37">
        <f t="shared" si="14"/>
        <v>1.2965517042777439</v>
      </c>
      <c r="P94" s="37">
        <f t="shared" si="15"/>
        <v>1.2259064207161041</v>
      </c>
      <c r="Q94" s="39">
        <f t="shared" si="16"/>
        <v>4.2184528021525622</v>
      </c>
    </row>
    <row r="95" spans="2:17" customFormat="1" x14ac:dyDescent="0.25">
      <c r="B95" s="41" t="s">
        <v>1070</v>
      </c>
      <c r="C95" s="3" t="s">
        <v>237</v>
      </c>
      <c r="D95" s="3">
        <v>11.25</v>
      </c>
      <c r="E95" s="3">
        <v>12.978550237117195</v>
      </c>
      <c r="F95" s="3">
        <v>420</v>
      </c>
      <c r="G95" s="4">
        <v>18.03</v>
      </c>
      <c r="H95" s="7"/>
      <c r="I95" s="38">
        <f t="shared" si="17"/>
        <v>17.249139098651817</v>
      </c>
      <c r="J95" s="37">
        <f t="shared" si="18"/>
        <v>14.100000063266732</v>
      </c>
      <c r="K95" s="37">
        <f t="shared" si="19"/>
        <v>9.1756319441894494</v>
      </c>
      <c r="L95" s="39">
        <f t="shared" si="20"/>
        <v>49.119471340307946</v>
      </c>
      <c r="M95" s="117"/>
      <c r="N95" s="38">
        <f t="shared" si="13"/>
        <v>1.5332568087690503</v>
      </c>
      <c r="O95" s="37">
        <f t="shared" si="14"/>
        <v>1.2533333389570429</v>
      </c>
      <c r="P95" s="37">
        <f t="shared" si="15"/>
        <v>0.81561172837239548</v>
      </c>
      <c r="Q95" s="39">
        <f t="shared" si="16"/>
        <v>4.3661752302495955</v>
      </c>
    </row>
    <row r="96" spans="2:17" customFormat="1" x14ac:dyDescent="0.25">
      <c r="B96" s="41" t="s">
        <v>1070</v>
      </c>
      <c r="C96" s="3" t="s">
        <v>238</v>
      </c>
      <c r="D96" s="3">
        <v>10.333333333333334</v>
      </c>
      <c r="E96" s="3">
        <v>14.448147112774516</v>
      </c>
      <c r="F96" s="3">
        <v>640</v>
      </c>
      <c r="G96" s="4">
        <v>18.29</v>
      </c>
      <c r="H96" s="7"/>
      <c r="I96" s="38">
        <f t="shared" si="17"/>
        <v>17.376709136413766</v>
      </c>
      <c r="J96" s="37">
        <f t="shared" si="18"/>
        <v>14.800000019279631</v>
      </c>
      <c r="K96" s="37">
        <f t="shared" si="19"/>
        <v>13.78012674774055</v>
      </c>
      <c r="L96" s="39">
        <f t="shared" si="20"/>
        <v>76.629823936773079</v>
      </c>
      <c r="M96" s="117"/>
      <c r="N96" s="38">
        <f t="shared" si="13"/>
        <v>1.6816170132013322</v>
      </c>
      <c r="O96" s="37">
        <f t="shared" si="14"/>
        <v>1.4322580663818998</v>
      </c>
      <c r="P96" s="37">
        <f t="shared" si="15"/>
        <v>1.33356065300715</v>
      </c>
      <c r="Q96" s="39">
        <f t="shared" si="16"/>
        <v>7.4157894132361042</v>
      </c>
    </row>
    <row r="97" spans="2:17" customFormat="1" x14ac:dyDescent="0.25">
      <c r="B97" s="41" t="s">
        <v>1070</v>
      </c>
      <c r="C97" s="3" t="s">
        <v>239</v>
      </c>
      <c r="D97" s="3">
        <v>23</v>
      </c>
      <c r="E97" s="3">
        <v>19.588236220109813</v>
      </c>
      <c r="F97" s="3">
        <v>200</v>
      </c>
      <c r="G97" s="4">
        <v>33.385000000000005</v>
      </c>
      <c r="H97" s="7"/>
      <c r="I97" s="38">
        <f t="shared" si="17"/>
        <v>33.15410161942264</v>
      </c>
      <c r="J97" s="37">
        <f t="shared" si="18"/>
        <v>29.86000068156007</v>
      </c>
      <c r="K97" s="37">
        <f t="shared" si="19"/>
        <v>19.33758489995239</v>
      </c>
      <c r="L97" s="39">
        <f t="shared" si="20"/>
        <v>252.95214808309527</v>
      </c>
      <c r="M97" s="117"/>
      <c r="N97" s="38">
        <f t="shared" si="13"/>
        <v>1.4414826791053321</v>
      </c>
      <c r="O97" s="37">
        <f t="shared" si="14"/>
        <v>1.2982608991982638</v>
      </c>
      <c r="P97" s="37">
        <f t="shared" si="15"/>
        <v>0.84076456086749518</v>
      </c>
      <c r="Q97" s="39">
        <f t="shared" si="16"/>
        <v>10.997919481873707</v>
      </c>
    </row>
    <row r="98" spans="2:17" customFormat="1" x14ac:dyDescent="0.25">
      <c r="B98" s="41" t="s">
        <v>1070</v>
      </c>
      <c r="C98" s="3" t="s">
        <v>240</v>
      </c>
      <c r="D98" s="3">
        <v>23</v>
      </c>
      <c r="E98" s="3">
        <v>18.64359254439119</v>
      </c>
      <c r="F98" s="3">
        <v>200</v>
      </c>
      <c r="G98" s="4">
        <v>33.160000000000004</v>
      </c>
      <c r="H98" s="7"/>
      <c r="I98" s="38">
        <f t="shared" si="17"/>
        <v>31.444998560200077</v>
      </c>
      <c r="J98" s="37">
        <f t="shared" si="18"/>
        <v>28.420000648691801</v>
      </c>
      <c r="K98" s="37">
        <f t="shared" si="19"/>
        <v>17.739005371894439</v>
      </c>
      <c r="L98" s="39">
        <f t="shared" si="20"/>
        <v>215.09618677220121</v>
      </c>
      <c r="M98" s="117"/>
      <c r="N98" s="38">
        <f t="shared" si="13"/>
        <v>1.3671738504434816</v>
      </c>
      <c r="O98" s="37">
        <f t="shared" si="14"/>
        <v>1.2356522021170349</v>
      </c>
      <c r="P98" s="37">
        <f t="shared" si="15"/>
        <v>0.77126110312584517</v>
      </c>
      <c r="Q98" s="39">
        <f t="shared" si="16"/>
        <v>9.3520081205304866</v>
      </c>
    </row>
    <row r="99" spans="2:17" customFormat="1" x14ac:dyDescent="0.25">
      <c r="B99" s="41" t="s">
        <v>1070</v>
      </c>
      <c r="C99" s="3" t="s">
        <v>241</v>
      </c>
      <c r="D99" s="3">
        <v>23</v>
      </c>
      <c r="E99" s="3">
        <v>17.790789226034097</v>
      </c>
      <c r="F99" s="3">
        <v>200</v>
      </c>
      <c r="G99" s="4">
        <v>35.380000000000003</v>
      </c>
      <c r="H99" s="7"/>
      <c r="I99" s="38">
        <f t="shared" si="17"/>
        <v>29.97785906111066</v>
      </c>
      <c r="J99" s="37">
        <f t="shared" si="18"/>
        <v>27.120000619019056</v>
      </c>
      <c r="K99" s="37">
        <f t="shared" si="19"/>
        <v>16.409656957988833</v>
      </c>
      <c r="L99" s="39">
        <f t="shared" si="20"/>
        <v>185.81126735751548</v>
      </c>
      <c r="M99" s="117"/>
      <c r="N99" s="38">
        <f t="shared" si="13"/>
        <v>1.3033851765700286</v>
      </c>
      <c r="O99" s="37">
        <f t="shared" si="14"/>
        <v>1.1791304616964806</v>
      </c>
      <c r="P99" s="37">
        <f t="shared" si="15"/>
        <v>0.71346334599951444</v>
      </c>
      <c r="Q99" s="39">
        <f t="shared" si="16"/>
        <v>8.0787507546745854</v>
      </c>
    </row>
    <row r="100" spans="2:17" customFormat="1" x14ac:dyDescent="0.25">
      <c r="B100" s="41" t="s">
        <v>1070</v>
      </c>
      <c r="C100" s="3" t="s">
        <v>242</v>
      </c>
      <c r="D100" s="3">
        <v>23</v>
      </c>
      <c r="E100" s="3">
        <v>18.853513361217551</v>
      </c>
      <c r="F100" s="3">
        <v>190</v>
      </c>
      <c r="G100" s="4">
        <v>33.789473684210527</v>
      </c>
      <c r="H100" s="7"/>
      <c r="I100" s="38">
        <f t="shared" si="17"/>
        <v>31.862232866891571</v>
      </c>
      <c r="J100" s="37">
        <f t="shared" si="18"/>
        <v>28.740000655995861</v>
      </c>
      <c r="K100" s="37">
        <f t="shared" si="19"/>
        <v>17.789355728819444</v>
      </c>
      <c r="L100" s="39">
        <f t="shared" si="20"/>
        <v>219.5765391372631</v>
      </c>
      <c r="M100" s="117"/>
      <c r="N100" s="38">
        <f t="shared" si="13"/>
        <v>1.3853144724735464</v>
      </c>
      <c r="O100" s="37">
        <f t="shared" si="14"/>
        <v>1.2495652459128634</v>
      </c>
      <c r="P100" s="37">
        <f t="shared" si="15"/>
        <v>0.77345024907910631</v>
      </c>
      <c r="Q100" s="39">
        <f t="shared" si="16"/>
        <v>9.5468060494462215</v>
      </c>
    </row>
    <row r="101" spans="2:17" customFormat="1" x14ac:dyDescent="0.25">
      <c r="B101" s="41" t="s">
        <v>1070</v>
      </c>
      <c r="C101" s="3" t="s">
        <v>243</v>
      </c>
      <c r="D101" s="3">
        <v>23</v>
      </c>
      <c r="E101" s="3">
        <v>18.905993565424136</v>
      </c>
      <c r="F101" s="3">
        <v>200</v>
      </c>
      <c r="G101" s="4">
        <v>32.97</v>
      </c>
      <c r="H101" s="7"/>
      <c r="I101" s="38">
        <f t="shared" si="17"/>
        <v>31.91071180273341</v>
      </c>
      <c r="J101" s="37">
        <f t="shared" si="18"/>
        <v>28.820000657821868</v>
      </c>
      <c r="K101" s="37">
        <f t="shared" si="19"/>
        <v>18.169309509338838</v>
      </c>
      <c r="L101" s="39">
        <f t="shared" si="20"/>
        <v>225.00379295571915</v>
      </c>
      <c r="M101" s="117"/>
      <c r="N101" s="38">
        <f t="shared" si="13"/>
        <v>1.3874222522927568</v>
      </c>
      <c r="O101" s="37">
        <f t="shared" si="14"/>
        <v>1.2530435068618204</v>
      </c>
      <c r="P101" s="37">
        <f t="shared" si="15"/>
        <v>0.78996997866690599</v>
      </c>
      <c r="Q101" s="39">
        <f t="shared" si="16"/>
        <v>9.7827736067703981</v>
      </c>
    </row>
    <row r="102" spans="2:17" customFormat="1" x14ac:dyDescent="0.25">
      <c r="B102" s="41" t="s">
        <v>1070</v>
      </c>
      <c r="C102" s="3" t="s">
        <v>244</v>
      </c>
      <c r="D102" s="3">
        <v>23</v>
      </c>
      <c r="E102" s="3">
        <v>17.790789226034097</v>
      </c>
      <c r="F102" s="3">
        <v>200</v>
      </c>
      <c r="G102" s="4">
        <v>33.11</v>
      </c>
      <c r="H102" s="7"/>
      <c r="I102" s="38">
        <f t="shared" si="17"/>
        <v>29.97785906111066</v>
      </c>
      <c r="J102" s="37">
        <f t="shared" si="18"/>
        <v>27.120000619019056</v>
      </c>
      <c r="K102" s="37">
        <f t="shared" si="19"/>
        <v>16.409656957988833</v>
      </c>
      <c r="L102" s="39">
        <f t="shared" si="20"/>
        <v>185.81126735751548</v>
      </c>
      <c r="M102" s="117"/>
      <c r="N102" s="38">
        <f t="shared" si="13"/>
        <v>1.3033851765700286</v>
      </c>
      <c r="O102" s="37">
        <f t="shared" si="14"/>
        <v>1.1791304616964806</v>
      </c>
      <c r="P102" s="37">
        <f t="shared" si="15"/>
        <v>0.71346334599951444</v>
      </c>
      <c r="Q102" s="39">
        <f t="shared" si="16"/>
        <v>8.0787507546745854</v>
      </c>
    </row>
    <row r="103" spans="2:17" customFormat="1" x14ac:dyDescent="0.25">
      <c r="B103" s="41" t="s">
        <v>1070</v>
      </c>
      <c r="C103" s="3" t="s">
        <v>245</v>
      </c>
      <c r="D103" s="3">
        <v>23</v>
      </c>
      <c r="E103" s="3">
        <v>17.567748358156091</v>
      </c>
      <c r="F103" s="3">
        <v>190</v>
      </c>
      <c r="G103" s="4">
        <v>33.478947368421053</v>
      </c>
      <c r="H103" s="7"/>
      <c r="I103" s="38">
        <f t="shared" si="17"/>
        <v>29.647640508266942</v>
      </c>
      <c r="J103" s="37">
        <f t="shared" si="18"/>
        <v>26.780000611258497</v>
      </c>
      <c r="K103" s="37">
        <f t="shared" si="19"/>
        <v>15.818137497364232</v>
      </c>
      <c r="L103" s="39">
        <f t="shared" si="20"/>
        <v>176.09864278418758</v>
      </c>
      <c r="M103" s="117"/>
      <c r="N103" s="38">
        <f t="shared" si="13"/>
        <v>1.2890278481855193</v>
      </c>
      <c r="O103" s="37">
        <f t="shared" si="14"/>
        <v>1.164347852663413</v>
      </c>
      <c r="P103" s="37">
        <f t="shared" si="15"/>
        <v>0.68774510858105353</v>
      </c>
      <c r="Q103" s="39">
        <f t="shared" si="16"/>
        <v>7.656462729747286</v>
      </c>
    </row>
    <row r="104" spans="2:17" customFormat="1" x14ac:dyDescent="0.25">
      <c r="B104" s="41" t="s">
        <v>1070</v>
      </c>
      <c r="C104" s="3" t="s">
        <v>246</v>
      </c>
      <c r="D104" s="3">
        <v>23</v>
      </c>
      <c r="E104" s="3">
        <v>18.131910553376933</v>
      </c>
      <c r="F104" s="3">
        <v>190</v>
      </c>
      <c r="G104" s="4">
        <v>36.631578947368425</v>
      </c>
      <c r="H104" s="7"/>
      <c r="I104" s="38">
        <f t="shared" si="17"/>
        <v>30.599737289622841</v>
      </c>
      <c r="J104" s="37">
        <f t="shared" si="18"/>
        <v>27.640000630888157</v>
      </c>
      <c r="K104" s="37">
        <f t="shared" si="19"/>
        <v>16.654631794488928</v>
      </c>
      <c r="L104" s="39">
        <f t="shared" si="20"/>
        <v>194.00093982897098</v>
      </c>
      <c r="M104" s="117"/>
      <c r="N104" s="38">
        <f t="shared" si="13"/>
        <v>1.3304233604183844</v>
      </c>
      <c r="O104" s="37">
        <f t="shared" si="14"/>
        <v>1.2017391578647025</v>
      </c>
      <c r="P104" s="37">
        <f t="shared" si="15"/>
        <v>0.72411442584734476</v>
      </c>
      <c r="Q104" s="39">
        <f t="shared" si="16"/>
        <v>8.434823470824826</v>
      </c>
    </row>
    <row r="105" spans="2:17" customFormat="1" x14ac:dyDescent="0.25">
      <c r="B105" s="41" t="s">
        <v>1070</v>
      </c>
      <c r="C105" s="3" t="s">
        <v>247</v>
      </c>
      <c r="D105" s="3">
        <v>23</v>
      </c>
      <c r="E105" s="3">
        <v>17.961349889705513</v>
      </c>
      <c r="F105" s="3">
        <v>190</v>
      </c>
      <c r="G105" s="4">
        <v>35.815789473684205</v>
      </c>
      <c r="H105" s="7"/>
      <c r="I105" s="38">
        <f t="shared" si="17"/>
        <v>30.308713661231977</v>
      </c>
      <c r="J105" s="37">
        <f t="shared" si="18"/>
        <v>27.380000624953603</v>
      </c>
      <c r="K105" s="37">
        <f t="shared" si="19"/>
        <v>16.397176936833041</v>
      </c>
      <c r="L105" s="39">
        <f t="shared" si="20"/>
        <v>188.40468614892356</v>
      </c>
      <c r="M105" s="117"/>
      <c r="N105" s="38">
        <f t="shared" si="13"/>
        <v>1.317770159183999</v>
      </c>
      <c r="O105" s="37">
        <f t="shared" si="14"/>
        <v>1.1904348097805915</v>
      </c>
      <c r="P105" s="37">
        <f t="shared" si="15"/>
        <v>0.71292073638404529</v>
      </c>
      <c r="Q105" s="39">
        <f t="shared" si="16"/>
        <v>8.1915080934314588</v>
      </c>
    </row>
    <row r="106" spans="2:17" customFormat="1" x14ac:dyDescent="0.25">
      <c r="B106" s="41" t="s">
        <v>1070</v>
      </c>
      <c r="C106" s="3" t="s">
        <v>248</v>
      </c>
      <c r="D106" s="3">
        <v>23</v>
      </c>
      <c r="E106" s="3">
        <v>17.528388205001143</v>
      </c>
      <c r="F106" s="3">
        <v>200</v>
      </c>
      <c r="G106" s="4">
        <v>34.424999999999997</v>
      </c>
      <c r="H106" s="7"/>
      <c r="I106" s="38">
        <f t="shared" ref="I106:I137" si="21">EXP(2.673197 -5.545766/D106+ 0.056028*E106-0.000142*F106)</f>
        <v>29.540354375102336</v>
      </c>
      <c r="J106" s="37">
        <f t="shared" ref="J106:J137" si="22">EXP(LN(E106) -7.458911 * (1/D106- 0.1))</f>
        <v>26.720000609888977</v>
      </c>
      <c r="K106" s="37">
        <f t="shared" ref="K106:K137" si="23">EXP(1.325956 -11.038033/D106+ 0.091341*E106+ 0.001634*F106)</f>
        <v>16.021026708752522</v>
      </c>
      <c r="L106" s="39">
        <f t="shared" ref="L106:L137" si="24">EXP(2.671109 -18.578108/D106+ 0.171615*E106+ 0.001541*F106)</f>
        <v>177.62942812158317</v>
      </c>
      <c r="M106" s="117"/>
      <c r="N106" s="38">
        <f t="shared" si="13"/>
        <v>1.2843632337001016</v>
      </c>
      <c r="O106" s="37">
        <f t="shared" si="14"/>
        <v>1.1617391569516946</v>
      </c>
      <c r="P106" s="37">
        <f t="shared" si="15"/>
        <v>0.69656637864141402</v>
      </c>
      <c r="Q106" s="39">
        <f t="shared" si="16"/>
        <v>7.7230186139818775</v>
      </c>
    </row>
    <row r="107" spans="2:17" customFormat="1" x14ac:dyDescent="0.25">
      <c r="B107" s="41" t="s">
        <v>1070</v>
      </c>
      <c r="C107" s="3" t="s">
        <v>249</v>
      </c>
      <c r="D107" s="3">
        <v>23</v>
      </c>
      <c r="E107" s="3">
        <v>18.394311574409887</v>
      </c>
      <c r="F107" s="3">
        <v>190</v>
      </c>
      <c r="G107" s="4">
        <v>36.457894736842107</v>
      </c>
      <c r="H107" s="7"/>
      <c r="I107" s="38">
        <f t="shared" si="21"/>
        <v>31.052931868294426</v>
      </c>
      <c r="J107" s="37">
        <f t="shared" si="22"/>
        <v>28.040000640018231</v>
      </c>
      <c r="K107" s="37">
        <f t="shared" si="23"/>
        <v>17.058631726758883</v>
      </c>
      <c r="L107" s="39">
        <f t="shared" si="24"/>
        <v>202.93687188755962</v>
      </c>
      <c r="M107" s="117"/>
      <c r="N107" s="38">
        <f t="shared" si="13"/>
        <v>1.3501274725345402</v>
      </c>
      <c r="O107" s="37">
        <f t="shared" si="14"/>
        <v>1.2191304626094883</v>
      </c>
      <c r="P107" s="37">
        <f t="shared" si="15"/>
        <v>0.74167964029386446</v>
      </c>
      <c r="Q107" s="39">
        <f t="shared" si="16"/>
        <v>8.8233422559808528</v>
      </c>
    </row>
    <row r="108" spans="2:17" customFormat="1" x14ac:dyDescent="0.25">
      <c r="B108" s="41" t="s">
        <v>1070</v>
      </c>
      <c r="C108" s="3" t="s">
        <v>250</v>
      </c>
      <c r="D108" s="3">
        <v>23</v>
      </c>
      <c r="E108" s="3">
        <v>19.220874790663686</v>
      </c>
      <c r="F108" s="3">
        <v>200</v>
      </c>
      <c r="G108" s="4">
        <v>34.295000000000002</v>
      </c>
      <c r="H108" s="7"/>
      <c r="I108" s="38">
        <f t="shared" si="21"/>
        <v>32.478681228609858</v>
      </c>
      <c r="J108" s="37">
        <f t="shared" si="22"/>
        <v>29.300000668777965</v>
      </c>
      <c r="K108" s="37">
        <f t="shared" si="23"/>
        <v>18.699474951250803</v>
      </c>
      <c r="L108" s="39">
        <f t="shared" si="24"/>
        <v>237.49714470621169</v>
      </c>
      <c r="M108" s="117"/>
      <c r="N108" s="38">
        <f t="shared" si="13"/>
        <v>1.4121165751569504</v>
      </c>
      <c r="O108" s="37">
        <f t="shared" si="14"/>
        <v>1.2739130725555636</v>
      </c>
      <c r="P108" s="37">
        <f t="shared" si="15"/>
        <v>0.81302065005438273</v>
      </c>
      <c r="Q108" s="39">
        <f t="shared" si="16"/>
        <v>10.325962813313552</v>
      </c>
    </row>
    <row r="109" spans="2:17" customFormat="1" x14ac:dyDescent="0.25">
      <c r="B109" s="41" t="s">
        <v>1070</v>
      </c>
      <c r="C109" s="3" t="s">
        <v>251</v>
      </c>
      <c r="D109" s="3">
        <v>23</v>
      </c>
      <c r="E109" s="3">
        <v>18.05319024706705</v>
      </c>
      <c r="F109" s="3">
        <v>250</v>
      </c>
      <c r="G109" s="4">
        <v>34.107999999999997</v>
      </c>
      <c r="H109" s="7"/>
      <c r="I109" s="38">
        <f t="shared" si="21"/>
        <v>30.206613252936577</v>
      </c>
      <c r="J109" s="37">
        <f t="shared" si="22"/>
        <v>27.520000628149134</v>
      </c>
      <c r="K109" s="37">
        <f t="shared" si="23"/>
        <v>18.238558868027916</v>
      </c>
      <c r="L109" s="39">
        <f t="shared" si="24"/>
        <v>209.93824544549716</v>
      </c>
      <c r="M109" s="117"/>
      <c r="N109" s="38">
        <f t="shared" si="13"/>
        <v>1.3133310109972425</v>
      </c>
      <c r="O109" s="37">
        <f t="shared" si="14"/>
        <v>1.1965217664412666</v>
      </c>
      <c r="P109" s="37">
        <f t="shared" si="15"/>
        <v>0.79298082034903983</v>
      </c>
      <c r="Q109" s="39">
        <f t="shared" si="16"/>
        <v>9.1277498019781369</v>
      </c>
    </row>
    <row r="110" spans="2:17" customFormat="1" x14ac:dyDescent="0.25">
      <c r="B110" s="41" t="s">
        <v>1070</v>
      </c>
      <c r="C110" s="3" t="s">
        <v>252</v>
      </c>
      <c r="D110" s="3">
        <v>23</v>
      </c>
      <c r="E110" s="3">
        <v>16.177022946681447</v>
      </c>
      <c r="F110" s="3">
        <v>250</v>
      </c>
      <c r="G110" s="4">
        <v>33.700000000000003</v>
      </c>
      <c r="H110" s="7"/>
      <c r="I110" s="38">
        <f t="shared" si="21"/>
        <v>27.192548424480702</v>
      </c>
      <c r="J110" s="37">
        <f t="shared" si="22"/>
        <v>24.660000562869097</v>
      </c>
      <c r="K110" s="37">
        <f t="shared" si="23"/>
        <v>15.36614902428594</v>
      </c>
      <c r="L110" s="39">
        <f t="shared" si="24"/>
        <v>152.14514505689394</v>
      </c>
      <c r="M110" s="117"/>
      <c r="N110" s="38">
        <f t="shared" si="13"/>
        <v>1.1822847141078565</v>
      </c>
      <c r="O110" s="37">
        <f t="shared" si="14"/>
        <v>1.0721739375160477</v>
      </c>
      <c r="P110" s="37">
        <f t="shared" si="15"/>
        <v>0.6680934358385191</v>
      </c>
      <c r="Q110" s="39">
        <f t="shared" si="16"/>
        <v>6.6150063068214759</v>
      </c>
    </row>
    <row r="111" spans="2:17" customFormat="1" x14ac:dyDescent="0.25">
      <c r="B111" s="41" t="s">
        <v>1070</v>
      </c>
      <c r="C111" s="3" t="s">
        <v>253</v>
      </c>
      <c r="D111" s="3">
        <v>23</v>
      </c>
      <c r="E111" s="3">
        <v>15.92774197670014</v>
      </c>
      <c r="F111" s="3">
        <v>260</v>
      </c>
      <c r="G111" s="4">
        <v>28.661538461538463</v>
      </c>
      <c r="H111" s="7"/>
      <c r="I111" s="38">
        <f t="shared" si="21"/>
        <v>26.777346938757095</v>
      </c>
      <c r="J111" s="37">
        <f t="shared" si="22"/>
        <v>24.280000554195524</v>
      </c>
      <c r="K111" s="37">
        <f t="shared" si="23"/>
        <v>15.267668180343472</v>
      </c>
      <c r="L111" s="39">
        <f t="shared" si="24"/>
        <v>148.03735095544999</v>
      </c>
      <c r="M111" s="117"/>
      <c r="N111" s="38">
        <f t="shared" si="13"/>
        <v>1.1642324755981346</v>
      </c>
      <c r="O111" s="37">
        <f t="shared" si="14"/>
        <v>1.055652198008501</v>
      </c>
      <c r="P111" s="37">
        <f t="shared" si="15"/>
        <v>0.66381166001493352</v>
      </c>
      <c r="Q111" s="39">
        <f t="shared" si="16"/>
        <v>6.4364065632804346</v>
      </c>
    </row>
    <row r="112" spans="2:17" customFormat="1" x14ac:dyDescent="0.25">
      <c r="B112" s="41" t="s">
        <v>1070</v>
      </c>
      <c r="C112" s="3" t="s">
        <v>254</v>
      </c>
      <c r="D112" s="3">
        <v>23</v>
      </c>
      <c r="E112" s="3">
        <v>13.959734318953007</v>
      </c>
      <c r="F112" s="3">
        <v>240</v>
      </c>
      <c r="G112" s="4">
        <v>24.466666666666665</v>
      </c>
      <c r="H112" s="7"/>
      <c r="I112" s="38">
        <f t="shared" si="21"/>
        <v>24.049945574934764</v>
      </c>
      <c r="J112" s="37">
        <f t="shared" si="22"/>
        <v>21.280000485719963</v>
      </c>
      <c r="K112" s="37">
        <f t="shared" si="23"/>
        <v>12.345573949297902</v>
      </c>
      <c r="L112" s="39">
        <f t="shared" si="24"/>
        <v>102.40187050205064</v>
      </c>
      <c r="M112" s="117"/>
      <c r="N112" s="38">
        <f t="shared" si="13"/>
        <v>1.0456498076058593</v>
      </c>
      <c r="O112" s="37">
        <f t="shared" si="14"/>
        <v>0.92521741242260713</v>
      </c>
      <c r="P112" s="37">
        <f t="shared" si="15"/>
        <v>0.5367640847520827</v>
      </c>
      <c r="Q112" s="39">
        <f t="shared" si="16"/>
        <v>4.4522552392195935</v>
      </c>
    </row>
    <row r="113" spans="2:17" customFormat="1" x14ac:dyDescent="0.25">
      <c r="B113" s="41" t="s">
        <v>1070</v>
      </c>
      <c r="C113" s="3" t="s">
        <v>255</v>
      </c>
      <c r="D113" s="3">
        <v>23</v>
      </c>
      <c r="E113" s="3">
        <v>17.108546571348423</v>
      </c>
      <c r="F113" s="3">
        <v>210</v>
      </c>
      <c r="G113" s="4">
        <v>26.8</v>
      </c>
      <c r="H113" s="7"/>
      <c r="I113" s="38">
        <f t="shared" si="21"/>
        <v>28.812645955075215</v>
      </c>
      <c r="J113" s="37">
        <f t="shared" si="22"/>
        <v>26.080000595280861</v>
      </c>
      <c r="K113" s="37">
        <f t="shared" si="23"/>
        <v>15.672275727294027</v>
      </c>
      <c r="L113" s="39">
        <f t="shared" si="24"/>
        <v>167.84793047747411</v>
      </c>
      <c r="M113" s="117"/>
      <c r="N113" s="38">
        <f t="shared" si="13"/>
        <v>1.2527237371771833</v>
      </c>
      <c r="O113" s="37">
        <f t="shared" si="14"/>
        <v>1.1339130693600374</v>
      </c>
      <c r="P113" s="37">
        <f t="shared" si="15"/>
        <v>0.68140329249104459</v>
      </c>
      <c r="Q113" s="39">
        <f t="shared" si="16"/>
        <v>7.2977361077162657</v>
      </c>
    </row>
    <row r="114" spans="2:17" customFormat="1" x14ac:dyDescent="0.25">
      <c r="B114" s="41" t="s">
        <v>1070</v>
      </c>
      <c r="C114" s="3" t="s">
        <v>256</v>
      </c>
      <c r="D114" s="3">
        <v>21</v>
      </c>
      <c r="E114" s="3">
        <v>12.516726769221984</v>
      </c>
      <c r="F114" s="3">
        <v>590</v>
      </c>
      <c r="G114" s="4">
        <v>20.210169491525424</v>
      </c>
      <c r="H114" s="7"/>
      <c r="I114" s="38">
        <f t="shared" si="21"/>
        <v>20.627395525927504</v>
      </c>
      <c r="J114" s="37">
        <f t="shared" si="22"/>
        <v>18.500000391330712</v>
      </c>
      <c r="K114" s="37">
        <f t="shared" si="23"/>
        <v>18.314364930127656</v>
      </c>
      <c r="L114" s="39">
        <f t="shared" si="24"/>
        <v>126.93628339057646</v>
      </c>
      <c r="M114" s="117"/>
      <c r="N114" s="38">
        <f t="shared" si="13"/>
        <v>0.9822569298060716</v>
      </c>
      <c r="O114" s="37">
        <f t="shared" si="14"/>
        <v>0.88095239958717675</v>
      </c>
      <c r="P114" s="37">
        <f t="shared" si="15"/>
        <v>0.87211261572036458</v>
      </c>
      <c r="Q114" s="39">
        <f t="shared" si="16"/>
        <v>6.0445849233607838</v>
      </c>
    </row>
    <row r="115" spans="2:17" customFormat="1" x14ac:dyDescent="0.25">
      <c r="B115" s="41" t="s">
        <v>1070</v>
      </c>
      <c r="C115" s="3" t="s">
        <v>257</v>
      </c>
      <c r="D115" s="3">
        <v>21</v>
      </c>
      <c r="E115" s="3">
        <v>15.669588755415202</v>
      </c>
      <c r="F115" s="3">
        <v>290</v>
      </c>
      <c r="G115" s="4">
        <v>25.906896551724138</v>
      </c>
      <c r="H115" s="7"/>
      <c r="I115" s="38">
        <f t="shared" si="21"/>
        <v>25.684010109699688</v>
      </c>
      <c r="J115" s="37">
        <f t="shared" si="22"/>
        <v>23.160000489903741</v>
      </c>
      <c r="K115" s="37">
        <f t="shared" si="23"/>
        <v>14.961366133493105</v>
      </c>
      <c r="L115" s="39">
        <f t="shared" si="24"/>
        <v>137.34055781361869</v>
      </c>
      <c r="M115" s="117"/>
      <c r="N115" s="38">
        <f t="shared" si="13"/>
        <v>1.2230481004618898</v>
      </c>
      <c r="O115" s="37">
        <f t="shared" si="14"/>
        <v>1.1028571661858924</v>
      </c>
      <c r="P115" s="37">
        <f t="shared" si="15"/>
        <v>0.71244600635681454</v>
      </c>
      <c r="Q115" s="39">
        <f t="shared" si="16"/>
        <v>6.5400265625532708</v>
      </c>
    </row>
    <row r="116" spans="2:17" customFormat="1" x14ac:dyDescent="0.25">
      <c r="B116" s="41" t="s">
        <v>1070</v>
      </c>
      <c r="C116" s="3" t="s">
        <v>258</v>
      </c>
      <c r="D116" s="3">
        <v>21</v>
      </c>
      <c r="E116" s="3">
        <v>15.304235649718992</v>
      </c>
      <c r="F116" s="3">
        <v>280</v>
      </c>
      <c r="G116" s="4">
        <v>27.253571428571426</v>
      </c>
      <c r="H116" s="7"/>
      <c r="I116" s="38">
        <f t="shared" si="21"/>
        <v>25.199360563832787</v>
      </c>
      <c r="J116" s="37">
        <f t="shared" si="22"/>
        <v>22.620000478481114</v>
      </c>
      <c r="K116" s="37">
        <f t="shared" si="23"/>
        <v>14.235795028492813</v>
      </c>
      <c r="L116" s="39">
        <f t="shared" si="24"/>
        <v>127.02114790117088</v>
      </c>
      <c r="M116" s="117"/>
      <c r="N116" s="38">
        <f t="shared" si="13"/>
        <v>1.1999695506587043</v>
      </c>
      <c r="O116" s="37">
        <f t="shared" si="14"/>
        <v>1.0771428799276721</v>
      </c>
      <c r="P116" s="37">
        <f t="shared" si="15"/>
        <v>0.67789500135680059</v>
      </c>
      <c r="Q116" s="39">
        <f t="shared" si="16"/>
        <v>6.0486260905319469</v>
      </c>
    </row>
    <row r="117" spans="2:17" customFormat="1" x14ac:dyDescent="0.25">
      <c r="B117" s="41" t="s">
        <v>1070</v>
      </c>
      <c r="C117" s="3" t="s">
        <v>259</v>
      </c>
      <c r="D117" s="3">
        <v>21</v>
      </c>
      <c r="E117" s="3">
        <v>11.109440732466213</v>
      </c>
      <c r="F117" s="3">
        <v>360</v>
      </c>
      <c r="G117" s="4">
        <v>17.024999999999999</v>
      </c>
      <c r="H117" s="7"/>
      <c r="I117" s="38">
        <f t="shared" si="21"/>
        <v>19.696336423915408</v>
      </c>
      <c r="J117" s="37">
        <f t="shared" si="22"/>
        <v>16.420000347332444</v>
      </c>
      <c r="K117" s="37">
        <f t="shared" si="23"/>
        <v>11.059865188296042</v>
      </c>
      <c r="L117" s="39">
        <f t="shared" si="24"/>
        <v>69.947423136114153</v>
      </c>
      <c r="M117" s="117"/>
      <c r="N117" s="38">
        <f t="shared" si="13"/>
        <v>0.93792078209120988</v>
      </c>
      <c r="O117" s="37">
        <f t="shared" si="14"/>
        <v>0.78190477844440209</v>
      </c>
      <c r="P117" s="37">
        <f t="shared" si="15"/>
        <v>0.52666024706171632</v>
      </c>
      <c r="Q117" s="39">
        <f t="shared" si="16"/>
        <v>3.3308296731482931</v>
      </c>
    </row>
    <row r="118" spans="2:17" customFormat="1" x14ac:dyDescent="0.25">
      <c r="B118" s="41" t="s">
        <v>1070</v>
      </c>
      <c r="C118" s="3" t="s">
        <v>260</v>
      </c>
      <c r="D118" s="3">
        <v>21</v>
      </c>
      <c r="E118" s="3">
        <v>14.91181935100825</v>
      </c>
      <c r="F118" s="3">
        <v>270</v>
      </c>
      <c r="G118" s="4">
        <v>25.12962962962963</v>
      </c>
      <c r="H118" s="7"/>
      <c r="I118" s="38">
        <f t="shared" si="21"/>
        <v>24.68639591819225</v>
      </c>
      <c r="J118" s="37">
        <f t="shared" si="22"/>
        <v>22.040000466212369</v>
      </c>
      <c r="K118" s="37">
        <f t="shared" si="23"/>
        <v>13.511968824978323</v>
      </c>
      <c r="L118" s="39">
        <f t="shared" si="24"/>
        <v>116.93275996027215</v>
      </c>
      <c r="M118" s="117"/>
      <c r="N118" s="38">
        <f t="shared" si="13"/>
        <v>1.1755426627710595</v>
      </c>
      <c r="O118" s="37">
        <f t="shared" si="14"/>
        <v>1.0495238317243984</v>
      </c>
      <c r="P118" s="37">
        <f t="shared" si="15"/>
        <v>0.64342708690372974</v>
      </c>
      <c r="Q118" s="39">
        <f t="shared" si="16"/>
        <v>5.5682266647748646</v>
      </c>
    </row>
    <row r="119" spans="2:17" customFormat="1" x14ac:dyDescent="0.25">
      <c r="B119" s="41" t="s">
        <v>1070</v>
      </c>
      <c r="C119" s="3" t="s">
        <v>261</v>
      </c>
      <c r="D119" s="3">
        <v>21</v>
      </c>
      <c r="E119" s="3">
        <v>16.075536650633211</v>
      </c>
      <c r="F119" s="3">
        <v>260</v>
      </c>
      <c r="G119" s="4">
        <v>27.703846153846154</v>
      </c>
      <c r="H119" s="7"/>
      <c r="I119" s="38">
        <f t="shared" si="21"/>
        <v>26.387042419626734</v>
      </c>
      <c r="J119" s="37">
        <f t="shared" si="22"/>
        <v>23.760000502595545</v>
      </c>
      <c r="K119" s="37">
        <f t="shared" si="23"/>
        <v>14.783785031241171</v>
      </c>
      <c r="L119" s="39">
        <f t="shared" si="24"/>
        <v>140.59738955999865</v>
      </c>
      <c r="M119" s="117"/>
      <c r="N119" s="38">
        <f t="shared" si="13"/>
        <v>1.2565258295060349</v>
      </c>
      <c r="O119" s="37">
        <f t="shared" si="14"/>
        <v>1.1314285953616927</v>
      </c>
      <c r="P119" s="37">
        <f t="shared" si="15"/>
        <v>0.70398976339243668</v>
      </c>
      <c r="Q119" s="39">
        <f t="shared" si="16"/>
        <v>6.6951137885713639</v>
      </c>
    </row>
    <row r="120" spans="2:17" customFormat="1" x14ac:dyDescent="0.25">
      <c r="B120" s="41" t="s">
        <v>1070</v>
      </c>
      <c r="C120" s="3" t="s">
        <v>262</v>
      </c>
      <c r="D120" s="3">
        <v>21</v>
      </c>
      <c r="E120" s="3">
        <v>15.074198509095451</v>
      </c>
      <c r="F120" s="3">
        <v>260</v>
      </c>
      <c r="G120" s="4">
        <v>25.473076923076924</v>
      </c>
      <c r="H120" s="7"/>
      <c r="I120" s="38">
        <f t="shared" si="21"/>
        <v>24.947412236175943</v>
      </c>
      <c r="J120" s="37">
        <f t="shared" si="22"/>
        <v>22.280000471289089</v>
      </c>
      <c r="K120" s="37">
        <f t="shared" si="23"/>
        <v>13.49160644102753</v>
      </c>
      <c r="L120" s="39">
        <f t="shared" si="24"/>
        <v>118.39846615743595</v>
      </c>
      <c r="M120" s="117"/>
      <c r="N120" s="38">
        <f t="shared" si="13"/>
        <v>1.1879720112464736</v>
      </c>
      <c r="O120" s="37">
        <f t="shared" si="14"/>
        <v>1.0609524033947184</v>
      </c>
      <c r="P120" s="37">
        <f t="shared" si="15"/>
        <v>0.64245744957273954</v>
      </c>
      <c r="Q120" s="39">
        <f t="shared" si="16"/>
        <v>5.6380221979731404</v>
      </c>
    </row>
    <row r="121" spans="2:17" customFormat="1" x14ac:dyDescent="0.25">
      <c r="B121" s="41" t="s">
        <v>1070</v>
      </c>
      <c r="C121" s="3" t="s">
        <v>263</v>
      </c>
      <c r="D121" s="3">
        <v>21</v>
      </c>
      <c r="E121" s="3">
        <v>19.093082671753756</v>
      </c>
      <c r="F121" s="3">
        <v>190</v>
      </c>
      <c r="G121" s="4">
        <v>33.268421052631581</v>
      </c>
      <c r="H121" s="7"/>
      <c r="I121" s="38">
        <f t="shared" si="21"/>
        <v>31.559673188968546</v>
      </c>
      <c r="J121" s="37">
        <f t="shared" si="22"/>
        <v>28.220000596937975</v>
      </c>
      <c r="K121" s="37">
        <f t="shared" si="23"/>
        <v>17.370556978327581</v>
      </c>
      <c r="L121" s="39">
        <f t="shared" si="24"/>
        <v>211.85171516925379</v>
      </c>
      <c r="M121" s="117"/>
      <c r="N121" s="38">
        <f t="shared" si="13"/>
        <v>1.5028415804270736</v>
      </c>
      <c r="O121" s="37">
        <f t="shared" si="14"/>
        <v>1.3438095522351416</v>
      </c>
      <c r="P121" s="37">
        <f t="shared" si="15"/>
        <v>0.82716937992036099</v>
      </c>
      <c r="Q121" s="39">
        <f t="shared" si="16"/>
        <v>10.088176912821609</v>
      </c>
    </row>
    <row r="122" spans="2:17" customFormat="1" x14ac:dyDescent="0.25">
      <c r="B122" s="41" t="s">
        <v>1070</v>
      </c>
      <c r="C122" s="3" t="s">
        <v>264</v>
      </c>
      <c r="D122" s="3">
        <v>21</v>
      </c>
      <c r="E122" s="3">
        <v>18.957766706681088</v>
      </c>
      <c r="F122" s="3">
        <v>200</v>
      </c>
      <c r="G122" s="4">
        <v>33.35</v>
      </c>
      <c r="H122" s="7"/>
      <c r="I122" s="38">
        <f t="shared" si="21"/>
        <v>31.276864090926288</v>
      </c>
      <c r="J122" s="37">
        <f t="shared" si="22"/>
        <v>28.020000592707376</v>
      </c>
      <c r="K122" s="37">
        <f t="shared" si="23"/>
        <v>17.439831377405426</v>
      </c>
      <c r="L122" s="39">
        <f t="shared" si="24"/>
        <v>210.20312473039232</v>
      </c>
      <c r="M122" s="117"/>
      <c r="N122" s="38">
        <f t="shared" si="13"/>
        <v>1.4893744805202995</v>
      </c>
      <c r="O122" s="37">
        <f t="shared" si="14"/>
        <v>1.3342857425098751</v>
      </c>
      <c r="P122" s="37">
        <f t="shared" si="15"/>
        <v>0.83046816082882979</v>
      </c>
      <c r="Q122" s="39">
        <f t="shared" si="16"/>
        <v>10.009672606209158</v>
      </c>
    </row>
    <row r="123" spans="2:17" customFormat="1" x14ac:dyDescent="0.25">
      <c r="B123" s="41" t="s">
        <v>1070</v>
      </c>
      <c r="C123" s="3" t="s">
        <v>265</v>
      </c>
      <c r="D123" s="3">
        <v>21</v>
      </c>
      <c r="E123" s="3">
        <v>16.941558827098298</v>
      </c>
      <c r="F123" s="3">
        <v>190</v>
      </c>
      <c r="G123" s="4">
        <v>35.068421052631578</v>
      </c>
      <c r="H123" s="7"/>
      <c r="I123" s="38">
        <f t="shared" si="21"/>
        <v>27.975652063686304</v>
      </c>
      <c r="J123" s="37">
        <f t="shared" si="22"/>
        <v>25.04000052967141</v>
      </c>
      <c r="K123" s="37">
        <f t="shared" si="23"/>
        <v>14.271353920337997</v>
      </c>
      <c r="L123" s="39">
        <f t="shared" si="24"/>
        <v>146.44542135844563</v>
      </c>
      <c r="M123" s="117"/>
      <c r="N123" s="38">
        <f t="shared" si="13"/>
        <v>1.332173907794586</v>
      </c>
      <c r="O123" s="37">
        <f t="shared" si="14"/>
        <v>1.1923809776034004</v>
      </c>
      <c r="P123" s="37">
        <f t="shared" si="15"/>
        <v>0.67958828192085696</v>
      </c>
      <c r="Q123" s="39">
        <f t="shared" si="16"/>
        <v>6.9735914932593159</v>
      </c>
    </row>
    <row r="124" spans="2:17" customFormat="1" x14ac:dyDescent="0.25">
      <c r="B124" s="41" t="s">
        <v>1070</v>
      </c>
      <c r="C124" s="3" t="s">
        <v>266</v>
      </c>
      <c r="D124" s="3">
        <v>21</v>
      </c>
      <c r="E124" s="3">
        <v>18.660071583521216</v>
      </c>
      <c r="F124" s="3">
        <v>200</v>
      </c>
      <c r="G124" s="4">
        <v>32.71</v>
      </c>
      <c r="H124" s="7"/>
      <c r="I124" s="38">
        <f t="shared" si="21"/>
        <v>30.759515558606999</v>
      </c>
      <c r="J124" s="37">
        <f t="shared" si="22"/>
        <v>27.580000583400064</v>
      </c>
      <c r="K124" s="37">
        <f t="shared" si="23"/>
        <v>16.972000884626723</v>
      </c>
      <c r="L124" s="39">
        <f t="shared" si="24"/>
        <v>199.73377908815499</v>
      </c>
      <c r="M124" s="117"/>
      <c r="N124" s="38">
        <f t="shared" si="13"/>
        <v>1.4647388361241429</v>
      </c>
      <c r="O124" s="37">
        <f t="shared" si="14"/>
        <v>1.3133333611142888</v>
      </c>
      <c r="P124" s="37">
        <f t="shared" si="15"/>
        <v>0.80819051831555822</v>
      </c>
      <c r="Q124" s="39">
        <f t="shared" si="16"/>
        <v>9.5111323375311905</v>
      </c>
    </row>
    <row r="125" spans="2:17" customFormat="1" x14ac:dyDescent="0.25">
      <c r="B125" s="41" t="s">
        <v>1070</v>
      </c>
      <c r="C125" s="3" t="s">
        <v>267</v>
      </c>
      <c r="D125" s="3">
        <v>21</v>
      </c>
      <c r="E125" s="3">
        <v>15.371893632255327</v>
      </c>
      <c r="F125" s="3">
        <v>300</v>
      </c>
      <c r="G125" s="4">
        <v>29.423333333333336</v>
      </c>
      <c r="H125" s="7"/>
      <c r="I125" s="38">
        <f t="shared" si="21"/>
        <v>25.223330032900382</v>
      </c>
      <c r="J125" s="37">
        <f t="shared" si="22"/>
        <v>22.720000480596415</v>
      </c>
      <c r="K125" s="37">
        <f t="shared" si="23"/>
        <v>14.799886579837558</v>
      </c>
      <c r="L125" s="39">
        <f t="shared" si="24"/>
        <v>132.52677707963815</v>
      </c>
      <c r="M125" s="117"/>
      <c r="N125" s="38">
        <f t="shared" si="13"/>
        <v>1.2011109539476372</v>
      </c>
      <c r="O125" s="37">
        <f t="shared" si="14"/>
        <v>1.0819047847903054</v>
      </c>
      <c r="P125" s="37">
        <f t="shared" si="15"/>
        <v>0.70475650380178845</v>
      </c>
      <c r="Q125" s="39">
        <f t="shared" si="16"/>
        <v>6.3107989085541973</v>
      </c>
    </row>
    <row r="126" spans="2:17" customFormat="1" x14ac:dyDescent="0.25">
      <c r="B126" s="41" t="s">
        <v>1070</v>
      </c>
      <c r="C126" s="3" t="s">
        <v>268</v>
      </c>
      <c r="D126" s="3">
        <v>21</v>
      </c>
      <c r="E126" s="3">
        <v>18.619476793999411</v>
      </c>
      <c r="F126" s="3">
        <v>310</v>
      </c>
      <c r="G126" s="4">
        <v>31.151612903225804</v>
      </c>
      <c r="H126" s="7"/>
      <c r="I126" s="38">
        <f t="shared" si="21"/>
        <v>30.213986628935356</v>
      </c>
      <c r="J126" s="37">
        <f t="shared" si="22"/>
        <v>27.52000058213088</v>
      </c>
      <c r="K126" s="37">
        <f t="shared" si="23"/>
        <v>20.238708048641442</v>
      </c>
      <c r="L126" s="39">
        <f t="shared" si="24"/>
        <v>234.98664916780496</v>
      </c>
      <c r="M126" s="117"/>
      <c r="N126" s="38">
        <f t="shared" si="13"/>
        <v>1.4387612680445407</v>
      </c>
      <c r="O126" s="37">
        <f t="shared" si="14"/>
        <v>1.3104762181967087</v>
      </c>
      <c r="P126" s="37">
        <f t="shared" si="15"/>
        <v>0.96374800231625912</v>
      </c>
      <c r="Q126" s="39">
        <f t="shared" si="16"/>
        <v>11.189840436562141</v>
      </c>
    </row>
    <row r="127" spans="2:17" customFormat="1" x14ac:dyDescent="0.25">
      <c r="B127" s="41" t="s">
        <v>1070</v>
      </c>
      <c r="C127" s="3" t="s">
        <v>269</v>
      </c>
      <c r="D127" s="3">
        <v>21</v>
      </c>
      <c r="E127" s="3">
        <v>15.777841527473337</v>
      </c>
      <c r="F127" s="3">
        <v>310</v>
      </c>
      <c r="G127" s="4">
        <v>22.183870967741935</v>
      </c>
      <c r="H127" s="7"/>
      <c r="I127" s="38">
        <f t="shared" si="21"/>
        <v>25.76697955159992</v>
      </c>
      <c r="J127" s="37">
        <f t="shared" si="22"/>
        <v>23.32000049328823</v>
      </c>
      <c r="K127" s="37">
        <f t="shared" si="23"/>
        <v>15.611989923939682</v>
      </c>
      <c r="L127" s="39">
        <f t="shared" si="24"/>
        <v>144.29523795256108</v>
      </c>
      <c r="M127" s="117"/>
      <c r="N127" s="38">
        <f t="shared" si="13"/>
        <v>1.2269990262666628</v>
      </c>
      <c r="O127" s="37">
        <f t="shared" si="14"/>
        <v>1.1104762139661062</v>
      </c>
      <c r="P127" s="37">
        <f t="shared" si="15"/>
        <v>0.74342809161617529</v>
      </c>
      <c r="Q127" s="39">
        <f t="shared" si="16"/>
        <v>6.8712018072648133</v>
      </c>
    </row>
    <row r="128" spans="2:17" customFormat="1" x14ac:dyDescent="0.25">
      <c r="B128" s="41" t="s">
        <v>1070</v>
      </c>
      <c r="C128" s="42" t="s">
        <v>270</v>
      </c>
      <c r="D128" s="42">
        <v>21</v>
      </c>
      <c r="E128" s="42">
        <v>13.125648612049</v>
      </c>
      <c r="F128" s="42">
        <v>610</v>
      </c>
      <c r="G128" s="43">
        <v>19.236065573770492</v>
      </c>
      <c r="H128" s="40"/>
      <c r="I128" s="126">
        <f t="shared" si="21"/>
        <v>21.282747015103553</v>
      </c>
      <c r="J128" s="127">
        <f t="shared" si="22"/>
        <v>19.400000410368413</v>
      </c>
      <c r="K128" s="127">
        <f t="shared" si="23"/>
        <v>20.005060185460117</v>
      </c>
      <c r="L128" s="128">
        <f t="shared" si="24"/>
        <v>145.32976142572676</v>
      </c>
      <c r="M128" s="129"/>
      <c r="N128" s="126">
        <f t="shared" si="13"/>
        <v>1.0134641435763596</v>
      </c>
      <c r="O128" s="127">
        <f t="shared" si="14"/>
        <v>0.92380954335087684</v>
      </c>
      <c r="P128" s="127">
        <f t="shared" si="15"/>
        <v>0.95262191359333892</v>
      </c>
      <c r="Q128" s="128">
        <f t="shared" si="16"/>
        <v>6.9204648297965123</v>
      </c>
    </row>
    <row r="129" spans="2:17" customFormat="1" x14ac:dyDescent="0.25">
      <c r="B129" s="41" t="s">
        <v>1070</v>
      </c>
      <c r="C129" s="3" t="s">
        <v>271</v>
      </c>
      <c r="D129" s="3">
        <v>21</v>
      </c>
      <c r="E129" s="3">
        <v>15.114793298617251</v>
      </c>
      <c r="F129" s="3">
        <v>340</v>
      </c>
      <c r="G129" s="4">
        <v>22.252941176470589</v>
      </c>
      <c r="H129" s="7"/>
      <c r="I129" s="38">
        <f t="shared" si="21"/>
        <v>24.721777706491149</v>
      </c>
      <c r="J129" s="37">
        <f t="shared" si="22"/>
        <v>22.340000472558266</v>
      </c>
      <c r="K129" s="37">
        <f t="shared" si="23"/>
        <v>15.432809275884713</v>
      </c>
      <c r="L129" s="39">
        <f t="shared" si="24"/>
        <v>134.86879843363593</v>
      </c>
      <c r="M129" s="117"/>
      <c r="N129" s="38">
        <f t="shared" si="13"/>
        <v>1.1772275098329119</v>
      </c>
      <c r="O129" s="37">
        <f t="shared" si="14"/>
        <v>1.0638095463122983</v>
      </c>
      <c r="P129" s="37">
        <f t="shared" si="15"/>
        <v>0.73489567980403392</v>
      </c>
      <c r="Q129" s="39">
        <f t="shared" si="16"/>
        <v>6.4223237349350439</v>
      </c>
    </row>
    <row r="130" spans="2:17" customFormat="1" x14ac:dyDescent="0.25">
      <c r="B130" s="41" t="s">
        <v>1070</v>
      </c>
      <c r="C130" s="3" t="s">
        <v>272</v>
      </c>
      <c r="D130" s="3">
        <v>21</v>
      </c>
      <c r="E130" s="3">
        <v>16.319105387764019</v>
      </c>
      <c r="F130" s="3">
        <v>290</v>
      </c>
      <c r="G130" s="4">
        <v>23.331034482758621</v>
      </c>
      <c r="H130" s="7"/>
      <c r="I130" s="38">
        <f t="shared" si="21"/>
        <v>26.635894979231445</v>
      </c>
      <c r="J130" s="37">
        <f t="shared" si="22"/>
        <v>24.12000051021063</v>
      </c>
      <c r="K130" s="37">
        <f t="shared" si="23"/>
        <v>15.875845229683796</v>
      </c>
      <c r="L130" s="39">
        <f t="shared" si="24"/>
        <v>153.53529287316877</v>
      </c>
      <c r="M130" s="117"/>
      <c r="N130" s="38">
        <f t="shared" si="13"/>
        <v>1.2683759513919735</v>
      </c>
      <c r="O130" s="37">
        <f t="shared" si="14"/>
        <v>1.1485714528671729</v>
      </c>
      <c r="P130" s="37">
        <f t="shared" si="15"/>
        <v>0.75599262998494265</v>
      </c>
      <c r="Q130" s="39">
        <f t="shared" si="16"/>
        <v>7.311204422531846</v>
      </c>
    </row>
    <row r="131" spans="2:17" customFormat="1" x14ac:dyDescent="0.25">
      <c r="B131" s="41" t="s">
        <v>1070</v>
      </c>
      <c r="C131" s="3" t="s">
        <v>273</v>
      </c>
      <c r="D131" s="3">
        <v>21</v>
      </c>
      <c r="E131" s="3">
        <v>11.758957364815036</v>
      </c>
      <c r="F131" s="3">
        <v>590</v>
      </c>
      <c r="G131" s="4">
        <v>18.032203389830507</v>
      </c>
      <c r="H131" s="7"/>
      <c r="I131" s="38">
        <f t="shared" si="21"/>
        <v>19.76996304625176</v>
      </c>
      <c r="J131" s="37">
        <f t="shared" si="22"/>
        <v>17.380000367639344</v>
      </c>
      <c r="K131" s="37">
        <f t="shared" si="23"/>
        <v>17.089603661595135</v>
      </c>
      <c r="L131" s="39">
        <f t="shared" si="24"/>
        <v>111.45719976959091</v>
      </c>
      <c r="M131" s="117"/>
      <c r="N131" s="38">
        <f t="shared" si="13"/>
        <v>0.94142681172627429</v>
      </c>
      <c r="O131" s="37">
        <f t="shared" si="14"/>
        <v>0.82761906512568306</v>
      </c>
      <c r="P131" s="37">
        <f t="shared" si="15"/>
        <v>0.81379065055214928</v>
      </c>
      <c r="Q131" s="39">
        <f t="shared" si="16"/>
        <v>5.3074857033138532</v>
      </c>
    </row>
    <row r="132" spans="2:17" customFormat="1" x14ac:dyDescent="0.25">
      <c r="B132" s="41" t="s">
        <v>1070</v>
      </c>
      <c r="C132" s="3" t="s">
        <v>274</v>
      </c>
      <c r="D132" s="3">
        <v>21</v>
      </c>
      <c r="E132" s="3">
        <v>18.024086547679659</v>
      </c>
      <c r="F132" s="3">
        <v>300</v>
      </c>
      <c r="G132" s="4">
        <v>26.273333333333333</v>
      </c>
      <c r="H132" s="7"/>
      <c r="I132" s="38">
        <f t="shared" si="21"/>
        <v>29.264243893243844</v>
      </c>
      <c r="J132" s="37">
        <f t="shared" si="22"/>
        <v>26.640000563516214</v>
      </c>
      <c r="K132" s="37">
        <f t="shared" si="23"/>
        <v>18.856797713733908</v>
      </c>
      <c r="L132" s="39">
        <f t="shared" si="24"/>
        <v>208.91778541547515</v>
      </c>
      <c r="M132" s="117"/>
      <c r="N132" s="38">
        <f t="shared" si="13"/>
        <v>1.3935354234878021</v>
      </c>
      <c r="O132" s="37">
        <f t="shared" si="14"/>
        <v>1.2685714554055341</v>
      </c>
      <c r="P132" s="37">
        <f t="shared" si="15"/>
        <v>0.89794274827304321</v>
      </c>
      <c r="Q132" s="39">
        <f t="shared" si="16"/>
        <v>9.9484659721654829</v>
      </c>
    </row>
    <row r="133" spans="2:17" customFormat="1" x14ac:dyDescent="0.25">
      <c r="B133" s="41" t="s">
        <v>1070</v>
      </c>
      <c r="C133" s="3" t="s">
        <v>275</v>
      </c>
      <c r="D133" s="3">
        <v>21</v>
      </c>
      <c r="E133" s="3">
        <v>15.074198509095451</v>
      </c>
      <c r="F133" s="3">
        <v>270</v>
      </c>
      <c r="G133" s="4">
        <v>23.014814814814816</v>
      </c>
      <c r="H133" s="7"/>
      <c r="I133" s="38">
        <f t="shared" si="21"/>
        <v>24.912012050880545</v>
      </c>
      <c r="J133" s="37">
        <f t="shared" si="22"/>
        <v>22.280000471289089</v>
      </c>
      <c r="K133" s="37">
        <f t="shared" si="23"/>
        <v>13.713870240247518</v>
      </c>
      <c r="L133" s="39">
        <f t="shared" si="24"/>
        <v>120.23711694027214</v>
      </c>
      <c r="M133" s="117"/>
      <c r="N133" s="38">
        <f t="shared" si="13"/>
        <v>1.1862862881371687</v>
      </c>
      <c r="O133" s="37">
        <f t="shared" si="14"/>
        <v>1.0609524033947184</v>
      </c>
      <c r="P133" s="37">
        <f t="shared" si="15"/>
        <v>0.65304144001178654</v>
      </c>
      <c r="Q133" s="39">
        <f t="shared" si="16"/>
        <v>5.7255769971558168</v>
      </c>
    </row>
    <row r="134" spans="2:17" customFormat="1" x14ac:dyDescent="0.25">
      <c r="B134" s="41" t="s">
        <v>1070</v>
      </c>
      <c r="C134" s="3" t="s">
        <v>276</v>
      </c>
      <c r="D134" s="3">
        <v>21</v>
      </c>
      <c r="E134" s="3">
        <v>17.861707389592457</v>
      </c>
      <c r="F134" s="3">
        <v>300</v>
      </c>
      <c r="G134" s="4">
        <v>25.036666666666669</v>
      </c>
      <c r="H134" s="7"/>
      <c r="I134" s="38">
        <f t="shared" si="21"/>
        <v>28.999211686300647</v>
      </c>
      <c r="J134" s="37">
        <f t="shared" si="22"/>
        <v>26.400000558439505</v>
      </c>
      <c r="K134" s="37">
        <f t="shared" si="23"/>
        <v>18.579179938507014</v>
      </c>
      <c r="L134" s="39">
        <f t="shared" si="24"/>
        <v>203.17630591188149</v>
      </c>
      <c r="M134" s="117"/>
      <c r="N134" s="38">
        <f t="shared" ref="N134:N197" si="25">I134/D134</f>
        <v>1.3809148422047928</v>
      </c>
      <c r="O134" s="37">
        <f t="shared" ref="O134:O197" si="26">J134/D134</f>
        <v>1.2571428837352145</v>
      </c>
      <c r="P134" s="37">
        <f t="shared" ref="P134:P197" si="27">K134/D134</f>
        <v>0.88472285421461971</v>
      </c>
      <c r="Q134" s="39">
        <f t="shared" ref="Q134:Q197" si="28">L134/D134</f>
        <v>9.675062186280071</v>
      </c>
    </row>
    <row r="135" spans="2:17" customFormat="1" x14ac:dyDescent="0.25">
      <c r="B135" s="41" t="s">
        <v>1070</v>
      </c>
      <c r="C135" s="3" t="s">
        <v>277</v>
      </c>
      <c r="D135" s="3">
        <v>21</v>
      </c>
      <c r="E135" s="3">
        <v>17.807581003563385</v>
      </c>
      <c r="F135" s="3">
        <v>290</v>
      </c>
      <c r="G135" s="4">
        <v>24.910344827586208</v>
      </c>
      <c r="H135" s="7"/>
      <c r="I135" s="38">
        <f t="shared" si="21"/>
        <v>28.952485441330481</v>
      </c>
      <c r="J135" s="37">
        <f t="shared" si="22"/>
        <v>26.320000556747249</v>
      </c>
      <c r="K135" s="37">
        <f t="shared" si="23"/>
        <v>18.187919999095737</v>
      </c>
      <c r="L135" s="39">
        <f t="shared" si="24"/>
        <v>198.21954001599028</v>
      </c>
      <c r="M135" s="117"/>
      <c r="N135" s="38">
        <f t="shared" si="25"/>
        <v>1.3786897829204992</v>
      </c>
      <c r="O135" s="37">
        <f t="shared" si="26"/>
        <v>1.2533333598451071</v>
      </c>
      <c r="P135" s="37">
        <f t="shared" si="27"/>
        <v>0.8660914285283684</v>
      </c>
      <c r="Q135" s="39">
        <f t="shared" si="28"/>
        <v>9.4390257150471566</v>
      </c>
    </row>
    <row r="136" spans="2:17" customFormat="1" x14ac:dyDescent="0.25">
      <c r="B136" s="41" t="s">
        <v>1070</v>
      </c>
      <c r="C136" s="3" t="s">
        <v>278</v>
      </c>
      <c r="D136" s="3">
        <v>21</v>
      </c>
      <c r="E136" s="3">
        <v>14.532934648804771</v>
      </c>
      <c r="F136" s="3">
        <v>280</v>
      </c>
      <c r="G136" s="4">
        <v>23.078571428571429</v>
      </c>
      <c r="H136" s="7"/>
      <c r="I136" s="38">
        <f t="shared" si="21"/>
        <v>24.133578445781492</v>
      </c>
      <c r="J136" s="37">
        <f t="shared" si="22"/>
        <v>21.480000454366678</v>
      </c>
      <c r="K136" s="37">
        <f t="shared" si="23"/>
        <v>13.267376997431002</v>
      </c>
      <c r="L136" s="39">
        <f t="shared" si="24"/>
        <v>111.27301435194035</v>
      </c>
      <c r="M136" s="117"/>
      <c r="N136" s="38">
        <f t="shared" si="25"/>
        <v>1.1492180212276901</v>
      </c>
      <c r="O136" s="37">
        <f t="shared" si="26"/>
        <v>1.0228571644936513</v>
      </c>
      <c r="P136" s="37">
        <f t="shared" si="27"/>
        <v>0.63177985702052397</v>
      </c>
      <c r="Q136" s="39">
        <f t="shared" si="28"/>
        <v>5.2987149691400166</v>
      </c>
    </row>
    <row r="137" spans="2:17" customFormat="1" x14ac:dyDescent="0.25">
      <c r="B137" s="41" t="s">
        <v>1070</v>
      </c>
      <c r="C137" s="3" t="s">
        <v>279</v>
      </c>
      <c r="D137" s="3">
        <v>21</v>
      </c>
      <c r="E137" s="3">
        <v>11.163567118495283</v>
      </c>
      <c r="F137" s="3">
        <v>530</v>
      </c>
      <c r="G137" s="4">
        <v>15.09245283018868</v>
      </c>
      <c r="H137" s="7"/>
      <c r="I137" s="38">
        <f t="shared" si="21"/>
        <v>19.284954711482534</v>
      </c>
      <c r="J137" s="37">
        <f t="shared" si="22"/>
        <v>16.500000349024688</v>
      </c>
      <c r="K137" s="37">
        <f t="shared" si="23"/>
        <v>14.673553107656042</v>
      </c>
      <c r="L137" s="39">
        <f t="shared" si="24"/>
        <v>91.744061635089381</v>
      </c>
      <c r="M137" s="117"/>
      <c r="N137" s="38">
        <f t="shared" si="25"/>
        <v>0.9183311767372635</v>
      </c>
      <c r="O137" s="37">
        <f t="shared" si="26"/>
        <v>0.78571430233450901</v>
      </c>
      <c r="P137" s="37">
        <f t="shared" si="27"/>
        <v>0.69874062417409721</v>
      </c>
      <c r="Q137" s="39">
        <f t="shared" si="28"/>
        <v>4.3687648397661611</v>
      </c>
    </row>
    <row r="138" spans="2:17" customFormat="1" x14ac:dyDescent="0.25">
      <c r="B138" s="41" t="s">
        <v>1070</v>
      </c>
      <c r="C138" s="3" t="s">
        <v>280</v>
      </c>
      <c r="D138" s="3">
        <v>21</v>
      </c>
      <c r="E138" s="3">
        <v>12.394942400656586</v>
      </c>
      <c r="F138" s="3">
        <v>600</v>
      </c>
      <c r="G138" s="4">
        <v>19.093333333333334</v>
      </c>
      <c r="H138" s="7"/>
      <c r="I138" s="38">
        <f t="shared" ref="I138:I169" si="29">EXP(2.673197 -5.545766/D138+ 0.056028*E138-0.000142*F138)</f>
        <v>20.458055923064361</v>
      </c>
      <c r="J138" s="37">
        <f t="shared" ref="J138:J169" si="30">EXP(LN(E138) -7.458911 * (1/D138- 0.1))</f>
        <v>18.320000387523166</v>
      </c>
      <c r="K138" s="37">
        <f t="shared" ref="K138:K169" si="31">EXP(1.325956 -11.038033/D138+ 0.091341*E138+ 0.001634*F138)</f>
        <v>18.410143958032222</v>
      </c>
      <c r="L138" s="39">
        <f t="shared" ref="L138:L169" si="32">EXP(2.671109 -18.578108/D138+ 0.171615*E138+ 0.001541*F138)</f>
        <v>126.241309553305</v>
      </c>
      <c r="M138" s="117"/>
      <c r="N138" s="38">
        <f t="shared" si="25"/>
        <v>0.974193139193541</v>
      </c>
      <c r="O138" s="37">
        <f t="shared" si="26"/>
        <v>0.87238097083443644</v>
      </c>
      <c r="P138" s="37">
        <f t="shared" si="27"/>
        <v>0.87667352181105818</v>
      </c>
      <c r="Q138" s="39">
        <f t="shared" si="28"/>
        <v>6.011490931109762</v>
      </c>
    </row>
    <row r="139" spans="2:17" customFormat="1" x14ac:dyDescent="0.25">
      <c r="B139" s="41" t="s">
        <v>1070</v>
      </c>
      <c r="C139" s="3" t="s">
        <v>281</v>
      </c>
      <c r="D139" s="3">
        <v>21</v>
      </c>
      <c r="E139" s="3">
        <v>12.949737857454533</v>
      </c>
      <c r="F139" s="3">
        <v>570</v>
      </c>
      <c r="G139" s="4">
        <v>17.270175438596489</v>
      </c>
      <c r="H139" s="7"/>
      <c r="I139" s="38">
        <f t="shared" si="29"/>
        <v>21.194057111267362</v>
      </c>
      <c r="J139" s="37">
        <f t="shared" si="30"/>
        <v>19.140000404868644</v>
      </c>
      <c r="K139" s="37">
        <f t="shared" si="31"/>
        <v>18.44064851783714</v>
      </c>
      <c r="L139" s="39">
        <f t="shared" si="32"/>
        <v>132.57870285290684</v>
      </c>
      <c r="M139" s="117"/>
      <c r="N139" s="38">
        <f t="shared" si="25"/>
        <v>1.0092408148222554</v>
      </c>
      <c r="O139" s="37">
        <f t="shared" si="26"/>
        <v>0.91142859070803062</v>
      </c>
      <c r="P139" s="37">
        <f t="shared" si="27"/>
        <v>0.87812611989700662</v>
      </c>
      <c r="Q139" s="39">
        <f t="shared" si="28"/>
        <v>6.3132715644241353</v>
      </c>
    </row>
    <row r="140" spans="2:17" customFormat="1" x14ac:dyDescent="0.25">
      <c r="B140" s="41" t="s">
        <v>1070</v>
      </c>
      <c r="C140" s="3" t="s">
        <v>282</v>
      </c>
      <c r="D140" s="3">
        <v>19</v>
      </c>
      <c r="E140" s="3">
        <v>17.109359023914024</v>
      </c>
      <c r="F140" s="3">
        <v>300</v>
      </c>
      <c r="G140" s="4">
        <v>23.21</v>
      </c>
      <c r="H140" s="7"/>
      <c r="I140" s="38">
        <f t="shared" si="29"/>
        <v>27.040013389250301</v>
      </c>
      <c r="J140" s="37">
        <f t="shared" si="30"/>
        <v>24.360000465977567</v>
      </c>
      <c r="K140" s="37">
        <f t="shared" si="31"/>
        <v>16.411673121516223</v>
      </c>
      <c r="L140" s="39">
        <f t="shared" si="32"/>
        <v>162.68836358650313</v>
      </c>
      <c r="M140" s="117"/>
      <c r="N140" s="38">
        <f t="shared" si="25"/>
        <v>1.4231585994342264</v>
      </c>
      <c r="O140" s="37">
        <f t="shared" si="26"/>
        <v>1.2821052876830299</v>
      </c>
      <c r="P140" s="37">
        <f t="shared" si="27"/>
        <v>0.86377226955348541</v>
      </c>
      <c r="Q140" s="39">
        <f t="shared" si="28"/>
        <v>8.562545451921217</v>
      </c>
    </row>
    <row r="141" spans="2:17" customFormat="1" x14ac:dyDescent="0.25">
      <c r="B141" s="41" t="s">
        <v>1070</v>
      </c>
      <c r="C141" s="3" t="s">
        <v>283</v>
      </c>
      <c r="D141" s="3">
        <v>19</v>
      </c>
      <c r="E141" s="3">
        <v>18.823104344864365</v>
      </c>
      <c r="F141" s="3">
        <v>300</v>
      </c>
      <c r="G141" s="4">
        <v>25.96</v>
      </c>
      <c r="H141" s="7"/>
      <c r="I141" s="38">
        <f t="shared" si="29"/>
        <v>29.765067345653073</v>
      </c>
      <c r="J141" s="37">
        <f t="shared" si="30"/>
        <v>26.800000512651842</v>
      </c>
      <c r="K141" s="37">
        <f t="shared" si="31"/>
        <v>19.192662963848193</v>
      </c>
      <c r="L141" s="39">
        <f t="shared" si="32"/>
        <v>218.31541922486807</v>
      </c>
      <c r="M141" s="117"/>
      <c r="N141" s="38">
        <f t="shared" si="25"/>
        <v>1.5665824918764775</v>
      </c>
      <c r="O141" s="37">
        <f t="shared" si="26"/>
        <v>1.4105263427711496</v>
      </c>
      <c r="P141" s="37">
        <f t="shared" si="27"/>
        <v>1.0101401559920102</v>
      </c>
      <c r="Q141" s="39">
        <f t="shared" si="28"/>
        <v>11.490285222361477</v>
      </c>
    </row>
    <row r="142" spans="2:17" customFormat="1" x14ac:dyDescent="0.25">
      <c r="B142" s="41" t="s">
        <v>1070</v>
      </c>
      <c r="C142" s="3" t="s">
        <v>284</v>
      </c>
      <c r="D142" s="3">
        <v>19</v>
      </c>
      <c r="E142" s="3">
        <v>17.994325869978542</v>
      </c>
      <c r="F142" s="3">
        <v>300</v>
      </c>
      <c r="G142" s="4">
        <v>24.15</v>
      </c>
      <c r="H142" s="7"/>
      <c r="I142" s="38">
        <f t="shared" si="29"/>
        <v>28.41453098705831</v>
      </c>
      <c r="J142" s="37">
        <f t="shared" si="30"/>
        <v>25.620000490079853</v>
      </c>
      <c r="K142" s="37">
        <f t="shared" si="31"/>
        <v>17.793382420195041</v>
      </c>
      <c r="L142" s="39">
        <f t="shared" si="32"/>
        <v>189.3713829754509</v>
      </c>
      <c r="M142" s="117"/>
      <c r="N142" s="38">
        <f t="shared" si="25"/>
        <v>1.4955016308978057</v>
      </c>
      <c r="O142" s="37">
        <f t="shared" si="26"/>
        <v>1.3484210784252555</v>
      </c>
      <c r="P142" s="37">
        <f t="shared" si="27"/>
        <v>0.93649381158921263</v>
      </c>
      <c r="Q142" s="39">
        <f t="shared" si="28"/>
        <v>9.966914893444784</v>
      </c>
    </row>
    <row r="143" spans="2:17" customFormat="1" x14ac:dyDescent="0.25">
      <c r="B143" s="41" t="s">
        <v>1070</v>
      </c>
      <c r="C143" s="3" t="s">
        <v>285</v>
      </c>
      <c r="D143" s="3">
        <v>19</v>
      </c>
      <c r="E143" s="3">
        <v>17.390300879807523</v>
      </c>
      <c r="F143" s="3">
        <v>290</v>
      </c>
      <c r="G143" s="4">
        <v>24.69655172413793</v>
      </c>
      <c r="H143" s="7"/>
      <c r="I143" s="38">
        <f t="shared" si="29"/>
        <v>27.508040854461751</v>
      </c>
      <c r="J143" s="37">
        <f t="shared" si="30"/>
        <v>24.760000473629084</v>
      </c>
      <c r="K143" s="37">
        <f t="shared" si="31"/>
        <v>16.565369927871071</v>
      </c>
      <c r="L143" s="39">
        <f t="shared" si="32"/>
        <v>168.1136649301508</v>
      </c>
      <c r="M143" s="117"/>
      <c r="N143" s="38">
        <f t="shared" si="25"/>
        <v>1.4477916239190396</v>
      </c>
      <c r="O143" s="37">
        <f t="shared" si="26"/>
        <v>1.3031579196646887</v>
      </c>
      <c r="P143" s="37">
        <f t="shared" si="27"/>
        <v>0.87186157515110896</v>
      </c>
      <c r="Q143" s="39">
        <f t="shared" si="28"/>
        <v>8.8480876279026734</v>
      </c>
    </row>
    <row r="144" spans="2:17" customFormat="1" x14ac:dyDescent="0.25">
      <c r="B144" s="41" t="s">
        <v>1070</v>
      </c>
      <c r="C144" s="3" t="s">
        <v>286</v>
      </c>
      <c r="D144" s="3">
        <v>19</v>
      </c>
      <c r="E144" s="3">
        <v>17.15150030229805</v>
      </c>
      <c r="F144" s="3">
        <v>300</v>
      </c>
      <c r="G144" s="4">
        <v>25.490000000000002</v>
      </c>
      <c r="H144" s="7"/>
      <c r="I144" s="38">
        <f t="shared" si="29"/>
        <v>27.10393276630429</v>
      </c>
      <c r="J144" s="37">
        <f t="shared" si="30"/>
        <v>24.420000467125298</v>
      </c>
      <c r="K144" s="37">
        <f t="shared" si="31"/>
        <v>16.474967107044208</v>
      </c>
      <c r="L144" s="39">
        <f t="shared" si="32"/>
        <v>163.86920292613382</v>
      </c>
      <c r="M144" s="117"/>
      <c r="N144" s="38">
        <f t="shared" si="25"/>
        <v>1.42652277717391</v>
      </c>
      <c r="O144" s="37">
        <f t="shared" si="26"/>
        <v>1.2852631824802789</v>
      </c>
      <c r="P144" s="37">
        <f t="shared" si="27"/>
        <v>0.86710353194969514</v>
      </c>
      <c r="Q144" s="39">
        <f t="shared" si="28"/>
        <v>8.624694890849149</v>
      </c>
    </row>
    <row r="145" spans="2:17" customFormat="1" x14ac:dyDescent="0.25">
      <c r="B145" s="41" t="s">
        <v>1070</v>
      </c>
      <c r="C145" s="3" t="s">
        <v>287</v>
      </c>
      <c r="D145" s="3">
        <v>19</v>
      </c>
      <c r="E145" s="3">
        <v>17.629101457317002</v>
      </c>
      <c r="F145" s="3">
        <v>300</v>
      </c>
      <c r="G145" s="4">
        <v>22.976666666666667</v>
      </c>
      <c r="H145" s="7"/>
      <c r="I145" s="38">
        <f t="shared" si="29"/>
        <v>27.838998889698807</v>
      </c>
      <c r="J145" s="37">
        <f t="shared" si="30"/>
        <v>25.100000480132888</v>
      </c>
      <c r="K145" s="37">
        <f t="shared" si="31"/>
        <v>17.209587665837304</v>
      </c>
      <c r="L145" s="39">
        <f t="shared" si="32"/>
        <v>177.86629008231887</v>
      </c>
      <c r="M145" s="117"/>
      <c r="N145" s="38">
        <f t="shared" si="25"/>
        <v>1.4652104678788846</v>
      </c>
      <c r="O145" s="37">
        <f t="shared" si="26"/>
        <v>1.3210526568490994</v>
      </c>
      <c r="P145" s="37">
        <f t="shared" si="27"/>
        <v>0.90576777188617397</v>
      </c>
      <c r="Q145" s="39">
        <f t="shared" si="28"/>
        <v>9.3613836885430981</v>
      </c>
    </row>
    <row r="146" spans="2:17" customFormat="1" x14ac:dyDescent="0.25">
      <c r="B146" s="41" t="s">
        <v>1070</v>
      </c>
      <c r="C146" s="3" t="s">
        <v>288</v>
      </c>
      <c r="D146" s="3">
        <v>19</v>
      </c>
      <c r="E146" s="3">
        <v>15.184907311043563</v>
      </c>
      <c r="F146" s="3">
        <v>280</v>
      </c>
      <c r="G146" s="4">
        <v>25.321428571428573</v>
      </c>
      <c r="H146" s="7"/>
      <c r="I146" s="38">
        <f t="shared" si="29"/>
        <v>24.345196614321285</v>
      </c>
      <c r="J146" s="37">
        <f t="shared" si="30"/>
        <v>21.620000413564657</v>
      </c>
      <c r="K146" s="37">
        <f t="shared" si="31"/>
        <v>13.323528246861931</v>
      </c>
      <c r="L146" s="39">
        <f t="shared" si="32"/>
        <v>113.38075980658012</v>
      </c>
      <c r="M146" s="117"/>
      <c r="N146" s="38">
        <f t="shared" si="25"/>
        <v>1.2813261375958571</v>
      </c>
      <c r="O146" s="37">
        <f t="shared" si="26"/>
        <v>1.1378947586086661</v>
      </c>
      <c r="P146" s="37">
        <f t="shared" si="27"/>
        <v>0.70123832878220693</v>
      </c>
      <c r="Q146" s="39">
        <f t="shared" si="28"/>
        <v>5.967408410872638</v>
      </c>
    </row>
    <row r="147" spans="2:17" customFormat="1" x14ac:dyDescent="0.25">
      <c r="B147" s="41" t="s">
        <v>1070</v>
      </c>
      <c r="C147" s="3" t="s">
        <v>289</v>
      </c>
      <c r="D147" s="3">
        <v>19</v>
      </c>
      <c r="E147" s="3">
        <v>18.205032261898666</v>
      </c>
      <c r="F147" s="3">
        <v>300</v>
      </c>
      <c r="G147" s="4">
        <v>29.016666666666669</v>
      </c>
      <c r="H147" s="7"/>
      <c r="I147" s="38">
        <f t="shared" si="29"/>
        <v>28.751965396293702</v>
      </c>
      <c r="J147" s="37">
        <f t="shared" si="30"/>
        <v>25.920000495818496</v>
      </c>
      <c r="K147" s="37">
        <f t="shared" si="31"/>
        <v>18.139152915953396</v>
      </c>
      <c r="L147" s="39">
        <f t="shared" si="32"/>
        <v>196.34443801479472</v>
      </c>
      <c r="M147" s="117"/>
      <c r="N147" s="38">
        <f t="shared" si="25"/>
        <v>1.5132613366470369</v>
      </c>
      <c r="O147" s="37">
        <f t="shared" si="26"/>
        <v>1.3642105524114998</v>
      </c>
      <c r="P147" s="37">
        <f t="shared" si="27"/>
        <v>0.95469225873438923</v>
      </c>
      <c r="Q147" s="39">
        <f t="shared" si="28"/>
        <v>10.333917790252354</v>
      </c>
    </row>
    <row r="148" spans="2:17" customFormat="1" x14ac:dyDescent="0.25">
      <c r="B148" s="41" t="s">
        <v>1070</v>
      </c>
      <c r="C148" s="3" t="s">
        <v>290</v>
      </c>
      <c r="D148" s="3">
        <v>19</v>
      </c>
      <c r="E148" s="3">
        <v>15.423707888553039</v>
      </c>
      <c r="F148" s="3">
        <v>300</v>
      </c>
      <c r="G148" s="4">
        <v>23.086666666666666</v>
      </c>
      <c r="H148" s="7"/>
      <c r="I148" s="38">
        <f t="shared" si="29"/>
        <v>24.603140183491696</v>
      </c>
      <c r="J148" s="37">
        <f t="shared" si="30"/>
        <v>21.96000042006845</v>
      </c>
      <c r="K148" s="37">
        <f t="shared" si="31"/>
        <v>14.069703489958624</v>
      </c>
      <c r="L148" s="39">
        <f t="shared" si="32"/>
        <v>121.82108736907094</v>
      </c>
      <c r="M148" s="117"/>
      <c r="N148" s="38">
        <f t="shared" si="25"/>
        <v>1.2949021149206157</v>
      </c>
      <c r="O148" s="37">
        <f t="shared" si="26"/>
        <v>1.1557894957930763</v>
      </c>
      <c r="P148" s="37">
        <f t="shared" si="27"/>
        <v>0.74051070999782231</v>
      </c>
      <c r="Q148" s="39">
        <f t="shared" si="28"/>
        <v>6.4116361773195232</v>
      </c>
    </row>
    <row r="149" spans="2:17" customFormat="1" x14ac:dyDescent="0.25">
      <c r="B149" s="41" t="s">
        <v>1070</v>
      </c>
      <c r="C149" s="3" t="s">
        <v>291</v>
      </c>
      <c r="D149" s="3">
        <v>19</v>
      </c>
      <c r="E149" s="3">
        <v>15.564178816499785</v>
      </c>
      <c r="F149" s="3">
        <v>290</v>
      </c>
      <c r="G149" s="4">
        <v>24.04137931034483</v>
      </c>
      <c r="H149" s="7"/>
      <c r="I149" s="38">
        <f t="shared" si="29"/>
        <v>24.832775904783215</v>
      </c>
      <c r="J149" s="37">
        <f t="shared" si="30"/>
        <v>22.160000423894207</v>
      </c>
      <c r="K149" s="37">
        <f t="shared" si="31"/>
        <v>14.020415985295633</v>
      </c>
      <c r="L149" s="39">
        <f t="shared" si="32"/>
        <v>122.8851758514074</v>
      </c>
      <c r="M149" s="117"/>
      <c r="N149" s="38">
        <f t="shared" si="25"/>
        <v>1.306988205514906</v>
      </c>
      <c r="O149" s="37">
        <f t="shared" si="26"/>
        <v>1.1663158117839056</v>
      </c>
      <c r="P149" s="37">
        <f t="shared" si="27"/>
        <v>0.73791663080503334</v>
      </c>
      <c r="Q149" s="39">
        <f t="shared" si="28"/>
        <v>6.4676408342845999</v>
      </c>
    </row>
    <row r="150" spans="2:17" customFormat="1" x14ac:dyDescent="0.25">
      <c r="B150" s="41" t="s">
        <v>1070</v>
      </c>
      <c r="C150" s="3" t="s">
        <v>292</v>
      </c>
      <c r="D150" s="3">
        <v>18</v>
      </c>
      <c r="E150" s="3">
        <v>15.160802607052172</v>
      </c>
      <c r="F150" s="3">
        <v>300</v>
      </c>
      <c r="G150" s="4">
        <v>24.75</v>
      </c>
      <c r="H150" s="7"/>
      <c r="I150" s="38">
        <f t="shared" si="29"/>
        <v>23.853437510236688</v>
      </c>
      <c r="J150" s="37">
        <f t="shared" si="30"/>
        <v>21.12000037906197</v>
      </c>
      <c r="K150" s="37">
        <f t="shared" si="31"/>
        <v>13.299611381639314</v>
      </c>
      <c r="L150" s="39">
        <f t="shared" si="32"/>
        <v>110.28997441052726</v>
      </c>
      <c r="M150" s="117"/>
      <c r="N150" s="38">
        <f t="shared" si="25"/>
        <v>1.325190972790927</v>
      </c>
      <c r="O150" s="37">
        <f t="shared" si="26"/>
        <v>1.1733333543923317</v>
      </c>
      <c r="P150" s="37">
        <f t="shared" si="27"/>
        <v>0.73886729897996195</v>
      </c>
      <c r="Q150" s="39">
        <f t="shared" si="28"/>
        <v>6.1272208005848476</v>
      </c>
    </row>
    <row r="151" spans="2:17" customFormat="1" x14ac:dyDescent="0.25">
      <c r="B151" s="41" t="s">
        <v>1070</v>
      </c>
      <c r="C151" s="3" t="s">
        <v>293</v>
      </c>
      <c r="D151" s="3">
        <v>18</v>
      </c>
      <c r="E151" s="3">
        <v>16.639555134065784</v>
      </c>
      <c r="F151" s="3">
        <v>300</v>
      </c>
      <c r="G151" s="4">
        <v>24.633333333333333</v>
      </c>
      <c r="H151" s="7"/>
      <c r="I151" s="38">
        <f t="shared" si="29"/>
        <v>25.913909838450138</v>
      </c>
      <c r="J151" s="37">
        <f t="shared" si="30"/>
        <v>23.180000416034868</v>
      </c>
      <c r="K151" s="37">
        <f t="shared" si="31"/>
        <v>15.222971196102275</v>
      </c>
      <c r="L151" s="39">
        <f t="shared" si="32"/>
        <v>142.15089627628447</v>
      </c>
      <c r="M151" s="117"/>
      <c r="N151" s="38">
        <f t="shared" si="25"/>
        <v>1.4396616576916743</v>
      </c>
      <c r="O151" s="37">
        <f t="shared" si="26"/>
        <v>1.2877778008908261</v>
      </c>
      <c r="P151" s="37">
        <f t="shared" si="27"/>
        <v>0.84572062200568199</v>
      </c>
      <c r="Q151" s="39">
        <f t="shared" si="28"/>
        <v>7.8972720153491371</v>
      </c>
    </row>
    <row r="152" spans="2:17" customFormat="1" x14ac:dyDescent="0.25">
      <c r="B152" s="41" t="s">
        <v>1070</v>
      </c>
      <c r="C152" s="3" t="s">
        <v>294</v>
      </c>
      <c r="D152" s="3">
        <v>18</v>
      </c>
      <c r="E152" s="3">
        <v>14.672670704931177</v>
      </c>
      <c r="F152" s="3">
        <v>260</v>
      </c>
      <c r="G152" s="4">
        <v>24.723076923076924</v>
      </c>
      <c r="H152" s="7"/>
      <c r="I152" s="38">
        <f t="shared" si="29"/>
        <v>23.342116013637238</v>
      </c>
      <c r="J152" s="37">
        <f t="shared" si="30"/>
        <v>20.440000366857326</v>
      </c>
      <c r="K152" s="37">
        <f t="shared" si="31"/>
        <v>11.914883814456779</v>
      </c>
      <c r="L152" s="39">
        <f t="shared" si="32"/>
        <v>95.364107110006827</v>
      </c>
      <c r="M152" s="117"/>
      <c r="N152" s="38">
        <f t="shared" si="25"/>
        <v>1.2967842229798465</v>
      </c>
      <c r="O152" s="37">
        <f t="shared" si="26"/>
        <v>1.1355555759365181</v>
      </c>
      <c r="P152" s="37">
        <f t="shared" si="27"/>
        <v>0.66193798969204332</v>
      </c>
      <c r="Q152" s="39">
        <f t="shared" si="28"/>
        <v>5.2980059505559352</v>
      </c>
    </row>
    <row r="153" spans="2:17" customFormat="1" x14ac:dyDescent="0.25">
      <c r="B153" s="41" t="s">
        <v>1070</v>
      </c>
      <c r="C153" s="3" t="s">
        <v>295</v>
      </c>
      <c r="D153" s="3">
        <v>18</v>
      </c>
      <c r="E153" s="3">
        <v>16.768766519921339</v>
      </c>
      <c r="F153" s="3">
        <v>290</v>
      </c>
      <c r="G153" s="4">
        <v>25.851724137931036</v>
      </c>
      <c r="H153" s="7"/>
      <c r="I153" s="38">
        <f t="shared" si="29"/>
        <v>26.139284591213002</v>
      </c>
      <c r="J153" s="37">
        <f t="shared" si="30"/>
        <v>23.360000419265507</v>
      </c>
      <c r="K153" s="37">
        <f t="shared" si="31"/>
        <v>15.154050366393902</v>
      </c>
      <c r="L153" s="39">
        <f t="shared" si="32"/>
        <v>143.11575168964998</v>
      </c>
      <c r="M153" s="117"/>
      <c r="N153" s="38">
        <f t="shared" si="25"/>
        <v>1.4521824772896113</v>
      </c>
      <c r="O153" s="37">
        <f t="shared" si="26"/>
        <v>1.297777801070306</v>
      </c>
      <c r="P153" s="37">
        <f t="shared" si="27"/>
        <v>0.84189168702188344</v>
      </c>
      <c r="Q153" s="39">
        <f t="shared" si="28"/>
        <v>7.9508750938694437</v>
      </c>
    </row>
    <row r="154" spans="2:17" customFormat="1" x14ac:dyDescent="0.25">
      <c r="B154" s="41" t="s">
        <v>1070</v>
      </c>
      <c r="C154" s="3" t="s">
        <v>296</v>
      </c>
      <c r="D154" s="3">
        <v>18</v>
      </c>
      <c r="E154" s="3">
        <v>15.735075433076876</v>
      </c>
      <c r="F154" s="3">
        <v>290</v>
      </c>
      <c r="G154" s="4">
        <v>25.868965517241378</v>
      </c>
      <c r="H154" s="7"/>
      <c r="I154" s="38">
        <f t="shared" si="29"/>
        <v>24.668415366341627</v>
      </c>
      <c r="J154" s="37">
        <f t="shared" si="30"/>
        <v>21.920000393420377</v>
      </c>
      <c r="K154" s="37">
        <f t="shared" si="31"/>
        <v>13.788700736685326</v>
      </c>
      <c r="L154" s="39">
        <f t="shared" si="32"/>
        <v>119.85190544509631</v>
      </c>
      <c r="M154" s="117"/>
      <c r="N154" s="38">
        <f t="shared" si="25"/>
        <v>1.3704675203523127</v>
      </c>
      <c r="O154" s="37">
        <f t="shared" si="26"/>
        <v>1.2177777996344654</v>
      </c>
      <c r="P154" s="37">
        <f t="shared" si="27"/>
        <v>0.76603892981585142</v>
      </c>
      <c r="Q154" s="39">
        <f t="shared" si="28"/>
        <v>6.6584391913942396</v>
      </c>
    </row>
    <row r="155" spans="2:17" customFormat="1" x14ac:dyDescent="0.25">
      <c r="B155" s="41" t="s">
        <v>1070</v>
      </c>
      <c r="C155" s="3" t="s">
        <v>297</v>
      </c>
      <c r="D155" s="3">
        <v>18</v>
      </c>
      <c r="E155" s="3">
        <v>17.515321193753458</v>
      </c>
      <c r="F155" s="3">
        <v>300</v>
      </c>
      <c r="G155" s="4">
        <v>26.666666666666668</v>
      </c>
      <c r="H155" s="7"/>
      <c r="I155" s="38">
        <f t="shared" si="29"/>
        <v>27.21715041956752</v>
      </c>
      <c r="J155" s="37">
        <f t="shared" si="30"/>
        <v>24.400000437931443</v>
      </c>
      <c r="K155" s="37">
        <f t="shared" si="31"/>
        <v>16.490738125930132</v>
      </c>
      <c r="L155" s="39">
        <f t="shared" si="32"/>
        <v>165.20443972177264</v>
      </c>
      <c r="M155" s="117"/>
      <c r="N155" s="38">
        <f t="shared" si="25"/>
        <v>1.5120639121981956</v>
      </c>
      <c r="O155" s="37">
        <f t="shared" si="26"/>
        <v>1.3555555798850802</v>
      </c>
      <c r="P155" s="37">
        <f t="shared" si="27"/>
        <v>0.91615211810722963</v>
      </c>
      <c r="Q155" s="39">
        <f t="shared" si="28"/>
        <v>9.1780244289873689</v>
      </c>
    </row>
    <row r="156" spans="2:17" customFormat="1" x14ac:dyDescent="0.25">
      <c r="B156" s="41" t="s">
        <v>1070</v>
      </c>
      <c r="C156" s="3" t="s">
        <v>298</v>
      </c>
      <c r="D156" s="3">
        <v>18</v>
      </c>
      <c r="E156" s="3">
        <v>15.261300351606494</v>
      </c>
      <c r="F156" s="3">
        <v>280</v>
      </c>
      <c r="G156" s="4">
        <v>25.307142857142857</v>
      </c>
      <c r="H156" s="7"/>
      <c r="I156" s="38">
        <f t="shared" si="29"/>
        <v>24.056350722256852</v>
      </c>
      <c r="J156" s="37">
        <f t="shared" si="30"/>
        <v>21.260000381574688</v>
      </c>
      <c r="K156" s="37">
        <f t="shared" si="31"/>
        <v>12.990708613149501</v>
      </c>
      <c r="L156" s="39">
        <f t="shared" si="32"/>
        <v>108.8031132812518</v>
      </c>
      <c r="M156" s="117"/>
      <c r="N156" s="38">
        <f t="shared" si="25"/>
        <v>1.3364639290142695</v>
      </c>
      <c r="O156" s="37">
        <f t="shared" si="26"/>
        <v>1.181111132309705</v>
      </c>
      <c r="P156" s="37">
        <f t="shared" si="27"/>
        <v>0.72170603406386113</v>
      </c>
      <c r="Q156" s="39">
        <f t="shared" si="28"/>
        <v>6.0446174045139891</v>
      </c>
    </row>
    <row r="157" spans="2:17" customFormat="1" x14ac:dyDescent="0.25">
      <c r="B157" s="41" t="s">
        <v>1070</v>
      </c>
      <c r="C157" s="3" t="s">
        <v>299</v>
      </c>
      <c r="D157" s="3">
        <v>18</v>
      </c>
      <c r="E157" s="3">
        <v>16.137066411294168</v>
      </c>
      <c r="F157" s="3">
        <v>300</v>
      </c>
      <c r="G157" s="4">
        <v>24.006666666666668</v>
      </c>
      <c r="H157" s="7"/>
      <c r="I157" s="38">
        <f t="shared" si="29"/>
        <v>25.194518368122885</v>
      </c>
      <c r="J157" s="37">
        <f t="shared" si="30"/>
        <v>22.480000403471262</v>
      </c>
      <c r="K157" s="37">
        <f t="shared" si="31"/>
        <v>14.540061873838003</v>
      </c>
      <c r="L157" s="39">
        <f t="shared" si="32"/>
        <v>130.40624521034954</v>
      </c>
      <c r="M157" s="117"/>
      <c r="N157" s="38">
        <f t="shared" si="25"/>
        <v>1.3996954648957158</v>
      </c>
      <c r="O157" s="37">
        <f t="shared" si="26"/>
        <v>1.248888911303959</v>
      </c>
      <c r="P157" s="37">
        <f t="shared" si="27"/>
        <v>0.80778121521322233</v>
      </c>
      <c r="Q157" s="39">
        <f t="shared" si="28"/>
        <v>7.2447914005749743</v>
      </c>
    </row>
    <row r="158" spans="2:17" customFormat="1" x14ac:dyDescent="0.25">
      <c r="B158" s="41" t="s">
        <v>1070</v>
      </c>
      <c r="C158" s="3" t="s">
        <v>300</v>
      </c>
      <c r="D158" s="3">
        <v>18</v>
      </c>
      <c r="E158" s="3">
        <v>19.281210133779425</v>
      </c>
      <c r="F158" s="3">
        <v>300</v>
      </c>
      <c r="G158" s="4">
        <v>24.043333333333333</v>
      </c>
      <c r="H158" s="7"/>
      <c r="I158" s="38">
        <f t="shared" si="29"/>
        <v>30.047712359037099</v>
      </c>
      <c r="J158" s="37">
        <f t="shared" si="30"/>
        <v>26.860000482083549</v>
      </c>
      <c r="K158" s="37">
        <f t="shared" si="31"/>
        <v>19.377196940216614</v>
      </c>
      <c r="L158" s="39">
        <f t="shared" si="32"/>
        <v>223.68454230514317</v>
      </c>
      <c r="M158" s="117"/>
      <c r="N158" s="38">
        <f t="shared" si="25"/>
        <v>1.6693173532798389</v>
      </c>
      <c r="O158" s="37">
        <f t="shared" si="26"/>
        <v>1.4922222490046417</v>
      </c>
      <c r="P158" s="37">
        <f t="shared" si="27"/>
        <v>1.0765109411231453</v>
      </c>
      <c r="Q158" s="39">
        <f t="shared" si="28"/>
        <v>12.426919016952398</v>
      </c>
    </row>
    <row r="159" spans="2:17" customFormat="1" x14ac:dyDescent="0.25">
      <c r="B159" s="41" t="s">
        <v>1070</v>
      </c>
      <c r="C159" s="3" t="s">
        <v>301</v>
      </c>
      <c r="D159" s="3">
        <v>18</v>
      </c>
      <c r="E159" s="3">
        <v>17.701959862211485</v>
      </c>
      <c r="F159" s="3">
        <v>290</v>
      </c>
      <c r="G159" s="4">
        <v>25.424137931034483</v>
      </c>
      <c r="H159" s="7"/>
      <c r="I159" s="38">
        <f t="shared" si="29"/>
        <v>27.54233556671981</v>
      </c>
      <c r="J159" s="37">
        <f t="shared" si="30"/>
        <v>24.660000442597923</v>
      </c>
      <c r="K159" s="37">
        <f t="shared" si="31"/>
        <v>16.502413785189901</v>
      </c>
      <c r="L159" s="39">
        <f t="shared" si="32"/>
        <v>167.97308036513769</v>
      </c>
      <c r="M159" s="117"/>
      <c r="N159" s="38">
        <f t="shared" si="25"/>
        <v>1.530129753706656</v>
      </c>
      <c r="O159" s="37">
        <f t="shared" si="26"/>
        <v>1.3700000245887736</v>
      </c>
      <c r="P159" s="37">
        <f t="shared" si="27"/>
        <v>0.91680076584388337</v>
      </c>
      <c r="Q159" s="39">
        <f t="shared" si="28"/>
        <v>9.331837798063205</v>
      </c>
    </row>
    <row r="160" spans="2:17" customFormat="1" x14ac:dyDescent="0.25">
      <c r="B160" s="41" t="s">
        <v>1070</v>
      </c>
      <c r="C160" s="3" t="s">
        <v>302</v>
      </c>
      <c r="D160" s="3">
        <v>18</v>
      </c>
      <c r="E160" s="3">
        <v>14.586529781027465</v>
      </c>
      <c r="F160" s="3">
        <v>290</v>
      </c>
      <c r="G160" s="4">
        <v>24.6</v>
      </c>
      <c r="H160" s="7"/>
      <c r="I160" s="38">
        <f t="shared" si="29"/>
        <v>23.130983120300741</v>
      </c>
      <c r="J160" s="37">
        <f t="shared" si="30"/>
        <v>20.320000364703557</v>
      </c>
      <c r="K160" s="37">
        <f t="shared" si="31"/>
        <v>12.415431332068861</v>
      </c>
      <c r="L160" s="39">
        <f t="shared" si="32"/>
        <v>98.410666469124095</v>
      </c>
      <c r="M160" s="117"/>
      <c r="N160" s="38">
        <f t="shared" si="25"/>
        <v>1.2850546177944855</v>
      </c>
      <c r="O160" s="37">
        <f t="shared" si="26"/>
        <v>1.1288889091501977</v>
      </c>
      <c r="P160" s="37">
        <f t="shared" si="27"/>
        <v>0.68974618511493668</v>
      </c>
      <c r="Q160" s="39">
        <f t="shared" si="28"/>
        <v>5.4672592482846722</v>
      </c>
    </row>
    <row r="161" spans="2:17" customFormat="1" x14ac:dyDescent="0.25">
      <c r="B161" s="41" t="s">
        <v>1070</v>
      </c>
      <c r="C161" s="3" t="s">
        <v>303</v>
      </c>
      <c r="D161" s="3">
        <v>18</v>
      </c>
      <c r="E161" s="3">
        <v>15.792502715679349</v>
      </c>
      <c r="F161" s="3">
        <v>280</v>
      </c>
      <c r="G161" s="4">
        <v>25.38214285714286</v>
      </c>
      <c r="H161" s="7"/>
      <c r="I161" s="38">
        <f t="shared" si="29"/>
        <v>24.783081704592622</v>
      </c>
      <c r="J161" s="37">
        <f t="shared" si="30"/>
        <v>22.000000394856222</v>
      </c>
      <c r="K161" s="37">
        <f t="shared" si="31"/>
        <v>13.636567006508677</v>
      </c>
      <c r="L161" s="39">
        <f t="shared" si="32"/>
        <v>119.18801954892771</v>
      </c>
      <c r="M161" s="117"/>
      <c r="N161" s="38">
        <f t="shared" si="25"/>
        <v>1.3768378724773678</v>
      </c>
      <c r="O161" s="37">
        <f t="shared" si="26"/>
        <v>1.222222244158679</v>
      </c>
      <c r="P161" s="37">
        <f t="shared" si="27"/>
        <v>0.7575870559171487</v>
      </c>
      <c r="Q161" s="39">
        <f t="shared" si="28"/>
        <v>6.6215566416070955</v>
      </c>
    </row>
    <row r="162" spans="2:17" customFormat="1" x14ac:dyDescent="0.25">
      <c r="B162" s="41" t="s">
        <v>1070</v>
      </c>
      <c r="C162" s="3" t="s">
        <v>304</v>
      </c>
      <c r="D162" s="3">
        <v>17</v>
      </c>
      <c r="E162" s="3">
        <v>17.682713021574415</v>
      </c>
      <c r="F162" s="3">
        <v>470</v>
      </c>
      <c r="G162" s="4">
        <v>22.378723404255318</v>
      </c>
      <c r="H162" s="7"/>
      <c r="I162" s="38">
        <f t="shared" si="29"/>
        <v>26.336676613882034</v>
      </c>
      <c r="J162" s="37">
        <f t="shared" si="30"/>
        <v>24.040000399744404</v>
      </c>
      <c r="K162" s="37">
        <f t="shared" si="31"/>
        <v>21.323220245039824</v>
      </c>
      <c r="L162" s="39">
        <f t="shared" si="32"/>
        <v>207.92301954247867</v>
      </c>
      <c r="M162" s="117"/>
      <c r="N162" s="38">
        <f t="shared" si="25"/>
        <v>1.5492162714048254</v>
      </c>
      <c r="O162" s="37">
        <f t="shared" si="26"/>
        <v>1.4141176705732001</v>
      </c>
      <c r="P162" s="37">
        <f t="shared" si="27"/>
        <v>1.2543070732376367</v>
      </c>
      <c r="Q162" s="39">
        <f t="shared" si="28"/>
        <v>12.230765855439921</v>
      </c>
    </row>
    <row r="163" spans="2:17" customFormat="1" x14ac:dyDescent="0.25">
      <c r="B163" s="41" t="s">
        <v>1070</v>
      </c>
      <c r="C163" s="3" t="s">
        <v>305</v>
      </c>
      <c r="D163" s="3">
        <v>17</v>
      </c>
      <c r="E163" s="3">
        <v>13.504767515645016</v>
      </c>
      <c r="F163" s="3">
        <v>490</v>
      </c>
      <c r="G163" s="4">
        <v>21.618367346938776</v>
      </c>
      <c r="H163" s="7"/>
      <c r="I163" s="38">
        <f t="shared" si="29"/>
        <v>20.781030698676304</v>
      </c>
      <c r="J163" s="37">
        <f t="shared" si="30"/>
        <v>18.360000305295646</v>
      </c>
      <c r="K163" s="37">
        <f t="shared" si="31"/>
        <v>15.04218986762174</v>
      </c>
      <c r="L163" s="39">
        <f t="shared" si="32"/>
        <v>104.68855450418781</v>
      </c>
      <c r="M163" s="117"/>
      <c r="N163" s="38">
        <f t="shared" si="25"/>
        <v>1.2224135705103709</v>
      </c>
      <c r="O163" s="37">
        <f t="shared" si="26"/>
        <v>1.0800000179585674</v>
      </c>
      <c r="P163" s="37">
        <f t="shared" si="27"/>
        <v>0.8848346980953965</v>
      </c>
      <c r="Q163" s="39">
        <f t="shared" si="28"/>
        <v>6.1581502649522237</v>
      </c>
    </row>
    <row r="164" spans="2:17" customFormat="1" x14ac:dyDescent="0.25">
      <c r="B164" s="41" t="s">
        <v>1070</v>
      </c>
      <c r="C164" s="3" t="s">
        <v>306</v>
      </c>
      <c r="D164" s="3">
        <v>17</v>
      </c>
      <c r="E164" s="3">
        <v>17.609157642948901</v>
      </c>
      <c r="F164" s="3">
        <v>490</v>
      </c>
      <c r="G164" s="4">
        <v>22.69387755102041</v>
      </c>
      <c r="H164" s="7"/>
      <c r="I164" s="38">
        <f t="shared" si="29"/>
        <v>26.153979404336372</v>
      </c>
      <c r="J164" s="37">
        <f t="shared" si="30"/>
        <v>23.940000398081587</v>
      </c>
      <c r="K164" s="37">
        <f t="shared" si="31"/>
        <v>21.884048872267503</v>
      </c>
      <c r="L164" s="39">
        <f t="shared" si="32"/>
        <v>211.74118566823486</v>
      </c>
      <c r="M164" s="117"/>
      <c r="N164" s="38">
        <f t="shared" si="25"/>
        <v>1.538469376725669</v>
      </c>
      <c r="O164" s="37">
        <f t="shared" si="26"/>
        <v>1.4082353175342111</v>
      </c>
      <c r="P164" s="37">
        <f t="shared" si="27"/>
        <v>1.2872969924863238</v>
      </c>
      <c r="Q164" s="39">
        <f t="shared" si="28"/>
        <v>12.455363862837345</v>
      </c>
    </row>
    <row r="165" spans="2:17" customFormat="1" x14ac:dyDescent="0.25">
      <c r="B165" s="41" t="s">
        <v>1070</v>
      </c>
      <c r="C165" s="3" t="s">
        <v>307</v>
      </c>
      <c r="D165" s="3">
        <v>17</v>
      </c>
      <c r="E165" s="3">
        <v>14.137343771824471</v>
      </c>
      <c r="F165" s="3">
        <v>490</v>
      </c>
      <c r="G165" s="4">
        <v>20.044897959183675</v>
      </c>
      <c r="H165" s="7"/>
      <c r="I165" s="38">
        <f t="shared" si="29"/>
        <v>21.530759076347252</v>
      </c>
      <c r="J165" s="37">
        <f t="shared" si="30"/>
        <v>19.220000319595982</v>
      </c>
      <c r="K165" s="37">
        <f t="shared" si="31"/>
        <v>15.936930016980785</v>
      </c>
      <c r="L165" s="39">
        <f t="shared" si="32"/>
        <v>116.69332842325873</v>
      </c>
      <c r="M165" s="117"/>
      <c r="N165" s="38">
        <f t="shared" si="25"/>
        <v>1.2665152397851325</v>
      </c>
      <c r="O165" s="37">
        <f t="shared" si="26"/>
        <v>1.1305882540938814</v>
      </c>
      <c r="P165" s="37">
        <f t="shared" si="27"/>
        <v>0.93746647158710505</v>
      </c>
      <c r="Q165" s="39">
        <f t="shared" si="28"/>
        <v>6.8643134366622789</v>
      </c>
    </row>
    <row r="166" spans="2:17" customFormat="1" x14ac:dyDescent="0.25">
      <c r="B166" s="41" t="s">
        <v>1070</v>
      </c>
      <c r="C166" s="3" t="s">
        <v>308</v>
      </c>
      <c r="D166" s="3">
        <v>16</v>
      </c>
      <c r="E166" s="3">
        <v>14.046546797439287</v>
      </c>
      <c r="F166" s="3">
        <v>350</v>
      </c>
      <c r="G166" s="4">
        <v>19.068571428571428</v>
      </c>
      <c r="H166" s="7"/>
      <c r="I166" s="38">
        <f t="shared" si="29"/>
        <v>21.410609045344387</v>
      </c>
      <c r="J166" s="37">
        <f t="shared" si="30"/>
        <v>18.580000281368708</v>
      </c>
      <c r="K166" s="37">
        <f t="shared" si="31"/>
        <v>12.073398586710034</v>
      </c>
      <c r="L166" s="39">
        <f t="shared" si="32"/>
        <v>86.481055521787809</v>
      </c>
      <c r="M166" s="117"/>
      <c r="N166" s="38">
        <f t="shared" si="25"/>
        <v>1.3381630653340242</v>
      </c>
      <c r="O166" s="37">
        <f t="shared" si="26"/>
        <v>1.1612500175855442</v>
      </c>
      <c r="P166" s="37">
        <f t="shared" si="27"/>
        <v>0.75458741166937715</v>
      </c>
      <c r="Q166" s="39">
        <f t="shared" si="28"/>
        <v>5.4050659701117381</v>
      </c>
    </row>
    <row r="167" spans="2:17" customFormat="1" x14ac:dyDescent="0.25">
      <c r="B167" s="41" t="s">
        <v>1070</v>
      </c>
      <c r="C167" s="3" t="s">
        <v>309</v>
      </c>
      <c r="D167" s="3">
        <v>16</v>
      </c>
      <c r="E167" s="3">
        <v>14.726950033052598</v>
      </c>
      <c r="F167" s="3">
        <v>350</v>
      </c>
      <c r="G167" s="4">
        <v>18.854285714285716</v>
      </c>
      <c r="H167" s="7"/>
      <c r="I167" s="38">
        <f t="shared" si="29"/>
        <v>22.242573585320013</v>
      </c>
      <c r="J167" s="37">
        <f t="shared" si="30"/>
        <v>19.480000294997975</v>
      </c>
      <c r="K167" s="37">
        <f t="shared" si="31"/>
        <v>12.847551911518218</v>
      </c>
      <c r="L167" s="39">
        <f t="shared" si="32"/>
        <v>97.19242534907211</v>
      </c>
      <c r="M167" s="117"/>
      <c r="N167" s="38">
        <f t="shared" si="25"/>
        <v>1.3901608490825008</v>
      </c>
      <c r="O167" s="37">
        <f t="shared" si="26"/>
        <v>1.2175000184373734</v>
      </c>
      <c r="P167" s="37">
        <f t="shared" si="27"/>
        <v>0.80297199446988865</v>
      </c>
      <c r="Q167" s="39">
        <f t="shared" si="28"/>
        <v>6.0745265843170069</v>
      </c>
    </row>
    <row r="168" spans="2:17" customFormat="1" x14ac:dyDescent="0.25">
      <c r="B168" s="41" t="s">
        <v>1070</v>
      </c>
      <c r="C168" s="3" t="s">
        <v>310</v>
      </c>
      <c r="D168" s="3">
        <v>16</v>
      </c>
      <c r="E168" s="3">
        <v>16.813519955600093</v>
      </c>
      <c r="F168" s="3">
        <v>330</v>
      </c>
      <c r="G168" s="4">
        <v>23.15625</v>
      </c>
      <c r="H168" s="7"/>
      <c r="I168" s="38">
        <f t="shared" si="29"/>
        <v>25.072071090721238</v>
      </c>
      <c r="J168" s="37">
        <f t="shared" si="30"/>
        <v>22.240000336794402</v>
      </c>
      <c r="K168" s="37">
        <f t="shared" si="31"/>
        <v>15.045255070314793</v>
      </c>
      <c r="L168" s="39">
        <f t="shared" si="32"/>
        <v>134.82255105514656</v>
      </c>
      <c r="M168" s="117"/>
      <c r="N168" s="38">
        <f t="shared" si="25"/>
        <v>1.5670044431700774</v>
      </c>
      <c r="O168" s="37">
        <f t="shared" si="26"/>
        <v>1.3900000210496501</v>
      </c>
      <c r="P168" s="37">
        <f t="shared" si="27"/>
        <v>0.94032844189467457</v>
      </c>
      <c r="Q168" s="39">
        <f t="shared" si="28"/>
        <v>8.4264094409466601</v>
      </c>
    </row>
    <row r="169" spans="2:17" customFormat="1" x14ac:dyDescent="0.25">
      <c r="B169" s="41" t="s">
        <v>1070</v>
      </c>
      <c r="C169" s="3" t="s">
        <v>311</v>
      </c>
      <c r="D169" s="3">
        <v>16</v>
      </c>
      <c r="E169" s="3">
        <v>15.664394491008716</v>
      </c>
      <c r="F169" s="3">
        <v>340</v>
      </c>
      <c r="G169" s="4">
        <v>20.988235294117647</v>
      </c>
      <c r="H169" s="7"/>
      <c r="I169" s="38">
        <f t="shared" si="29"/>
        <v>23.47535903991033</v>
      </c>
      <c r="J169" s="37">
        <f t="shared" si="30"/>
        <v>20.720000313776076</v>
      </c>
      <c r="K169" s="37">
        <f t="shared" si="31"/>
        <v>13.769285107183961</v>
      </c>
      <c r="L169" s="39">
        <f t="shared" si="32"/>
        <v>112.41105768199184</v>
      </c>
      <c r="M169" s="117"/>
      <c r="N169" s="38">
        <f t="shared" si="25"/>
        <v>1.4672099399943956</v>
      </c>
      <c r="O169" s="37">
        <f t="shared" si="26"/>
        <v>1.2950000196110047</v>
      </c>
      <c r="P169" s="37">
        <f t="shared" si="27"/>
        <v>0.86058031919899758</v>
      </c>
      <c r="Q169" s="39">
        <f t="shared" si="28"/>
        <v>7.0256911051244897</v>
      </c>
    </row>
    <row r="170" spans="2:17" customFormat="1" x14ac:dyDescent="0.25">
      <c r="B170" s="41" t="s">
        <v>1070</v>
      </c>
      <c r="C170" s="3" t="s">
        <v>312</v>
      </c>
      <c r="D170" s="3">
        <v>16</v>
      </c>
      <c r="E170" s="3">
        <v>13.154462555190717</v>
      </c>
      <c r="F170" s="3">
        <v>340</v>
      </c>
      <c r="G170" s="4">
        <v>18.088235294117645</v>
      </c>
      <c r="H170" s="7"/>
      <c r="I170" s="38">
        <f t="shared" ref="I170:I201" si="33">EXP(2.673197 -5.545766/D170+ 0.056028*E170-0.000142*F170)</f>
        <v>20.395715474711242</v>
      </c>
      <c r="J170" s="37">
        <f t="shared" ref="J170:J201" si="34">EXP(LN(E170) -7.458911 * (1/D170- 0.1))</f>
        <v>17.400000263499216</v>
      </c>
      <c r="K170" s="37">
        <f t="shared" ref="K170:K201" si="35">EXP(1.325956 -11.038033/D170+ 0.091341*E170+ 0.001634*F170)</f>
        <v>10.948261776107357</v>
      </c>
      <c r="L170" s="39">
        <f t="shared" ref="L170:L201" si="36">EXP(2.671109 -18.578108/D170+ 0.171615*E170+ 0.001541*F170)</f>
        <v>73.070179431345466</v>
      </c>
      <c r="M170" s="117"/>
      <c r="N170" s="38">
        <f t="shared" si="25"/>
        <v>1.2747322171694526</v>
      </c>
      <c r="O170" s="37">
        <f t="shared" si="26"/>
        <v>1.087500016468701</v>
      </c>
      <c r="P170" s="37">
        <f t="shared" si="27"/>
        <v>0.68426636100670979</v>
      </c>
      <c r="Q170" s="39">
        <f t="shared" si="28"/>
        <v>4.5668862144590916</v>
      </c>
    </row>
    <row r="171" spans="2:17" customFormat="1" x14ac:dyDescent="0.25">
      <c r="B171" s="41" t="s">
        <v>1070</v>
      </c>
      <c r="C171" s="3" t="s">
        <v>313</v>
      </c>
      <c r="D171" s="3">
        <v>16</v>
      </c>
      <c r="E171" s="3">
        <v>15.331752909153321</v>
      </c>
      <c r="F171" s="3">
        <v>340</v>
      </c>
      <c r="G171" s="4">
        <v>22.508823529411764</v>
      </c>
      <c r="H171" s="7"/>
      <c r="I171" s="38">
        <f t="shared" si="33"/>
        <v>23.041894914391658</v>
      </c>
      <c r="J171" s="37">
        <f t="shared" si="34"/>
        <v>20.280000307112882</v>
      </c>
      <c r="K171" s="37">
        <f t="shared" si="35"/>
        <v>13.357213553156063</v>
      </c>
      <c r="L171" s="39">
        <f t="shared" si="36"/>
        <v>106.17365682095567</v>
      </c>
      <c r="M171" s="117"/>
      <c r="N171" s="38">
        <f t="shared" si="25"/>
        <v>1.4401184321494787</v>
      </c>
      <c r="O171" s="37">
        <f t="shared" si="26"/>
        <v>1.2675000191945551</v>
      </c>
      <c r="P171" s="37">
        <f t="shared" si="27"/>
        <v>0.83482584707225393</v>
      </c>
      <c r="Q171" s="39">
        <f t="shared" si="28"/>
        <v>6.6358535513097294</v>
      </c>
    </row>
    <row r="172" spans="2:17" customFormat="1" x14ac:dyDescent="0.25">
      <c r="B172" s="41" t="s">
        <v>1070</v>
      </c>
      <c r="C172" s="3" t="s">
        <v>314</v>
      </c>
      <c r="D172" s="3">
        <v>16</v>
      </c>
      <c r="E172" s="3">
        <v>17.146161537455484</v>
      </c>
      <c r="F172" s="3">
        <v>350</v>
      </c>
      <c r="G172" s="4">
        <v>21.777142857142856</v>
      </c>
      <c r="H172" s="7"/>
      <c r="I172" s="38">
        <f t="shared" si="33"/>
        <v>25.471285621250832</v>
      </c>
      <c r="J172" s="37">
        <f t="shared" si="34"/>
        <v>22.680000343457596</v>
      </c>
      <c r="K172" s="37">
        <f t="shared" si="35"/>
        <v>16.024623027301981</v>
      </c>
      <c r="L172" s="39">
        <f t="shared" si="36"/>
        <v>147.21082783489217</v>
      </c>
      <c r="M172" s="117"/>
      <c r="N172" s="38">
        <f t="shared" si="25"/>
        <v>1.591955351328177</v>
      </c>
      <c r="O172" s="37">
        <f t="shared" si="26"/>
        <v>1.4175000214660998</v>
      </c>
      <c r="P172" s="37">
        <f t="shared" si="27"/>
        <v>1.0015389392063738</v>
      </c>
      <c r="Q172" s="39">
        <f t="shared" si="28"/>
        <v>9.2006767396807607</v>
      </c>
    </row>
    <row r="173" spans="2:17" customFormat="1" x14ac:dyDescent="0.25">
      <c r="B173" s="41" t="s">
        <v>1070</v>
      </c>
      <c r="C173" s="3" t="s">
        <v>315</v>
      </c>
      <c r="D173" s="3">
        <v>16</v>
      </c>
      <c r="E173" s="3">
        <v>17.070561177942903</v>
      </c>
      <c r="F173" s="3">
        <v>330</v>
      </c>
      <c r="G173" s="4">
        <v>22.006250000000001</v>
      </c>
      <c r="H173" s="7"/>
      <c r="I173" s="38">
        <f t="shared" si="33"/>
        <v>25.435759205462229</v>
      </c>
      <c r="J173" s="37">
        <f t="shared" si="34"/>
        <v>22.580000341943244</v>
      </c>
      <c r="K173" s="37">
        <f t="shared" si="35"/>
        <v>15.402673004129543</v>
      </c>
      <c r="L173" s="39">
        <f t="shared" si="36"/>
        <v>140.90298537123482</v>
      </c>
      <c r="M173" s="117"/>
      <c r="N173" s="38">
        <f t="shared" si="25"/>
        <v>1.5897349503413893</v>
      </c>
      <c r="O173" s="37">
        <f t="shared" si="26"/>
        <v>1.4112500213714527</v>
      </c>
      <c r="P173" s="37">
        <f t="shared" si="27"/>
        <v>0.96266706275809644</v>
      </c>
      <c r="Q173" s="39">
        <f t="shared" si="28"/>
        <v>8.8064365857021762</v>
      </c>
    </row>
    <row r="174" spans="2:17" customFormat="1" x14ac:dyDescent="0.25">
      <c r="B174" s="41" t="s">
        <v>1070</v>
      </c>
      <c r="C174" s="3" t="s">
        <v>316</v>
      </c>
      <c r="D174" s="3">
        <v>16</v>
      </c>
      <c r="E174" s="3">
        <v>16.49599844564721</v>
      </c>
      <c r="F174" s="3">
        <v>350</v>
      </c>
      <c r="G174" s="4">
        <v>22.482857142857142</v>
      </c>
      <c r="H174" s="7"/>
      <c r="I174" s="38">
        <f t="shared" si="33"/>
        <v>24.560130724233531</v>
      </c>
      <c r="J174" s="37">
        <f t="shared" si="34"/>
        <v>21.820000330434073</v>
      </c>
      <c r="K174" s="37">
        <f t="shared" si="35"/>
        <v>15.100682349731839</v>
      </c>
      <c r="L174" s="39">
        <f t="shared" si="36"/>
        <v>131.66858203780131</v>
      </c>
      <c r="M174" s="117"/>
      <c r="N174" s="38">
        <f t="shared" si="25"/>
        <v>1.5350081702645957</v>
      </c>
      <c r="O174" s="37">
        <f t="shared" si="26"/>
        <v>1.3637500206521296</v>
      </c>
      <c r="P174" s="37">
        <f t="shared" si="27"/>
        <v>0.94379264685823994</v>
      </c>
      <c r="Q174" s="39">
        <f t="shared" si="28"/>
        <v>8.2292863773625822</v>
      </c>
    </row>
    <row r="175" spans="2:17" customFormat="1" x14ac:dyDescent="0.25">
      <c r="B175" s="41" t="s">
        <v>1070</v>
      </c>
      <c r="C175" s="3" t="s">
        <v>317</v>
      </c>
      <c r="D175" s="3">
        <v>16</v>
      </c>
      <c r="E175" s="3">
        <v>13.487104137046115</v>
      </c>
      <c r="F175" s="3">
        <v>350</v>
      </c>
      <c r="G175" s="4">
        <v>17.342857142857142</v>
      </c>
      <c r="H175" s="7"/>
      <c r="I175" s="38">
        <f t="shared" si="33"/>
        <v>20.749913865138314</v>
      </c>
      <c r="J175" s="37">
        <f t="shared" si="34"/>
        <v>17.840000270162413</v>
      </c>
      <c r="K175" s="37">
        <f t="shared" si="35"/>
        <v>11.471945308800519</v>
      </c>
      <c r="L175" s="39">
        <f t="shared" si="36"/>
        <v>78.564239403116417</v>
      </c>
      <c r="M175" s="117"/>
      <c r="N175" s="38">
        <f t="shared" si="25"/>
        <v>1.2968696165711446</v>
      </c>
      <c r="O175" s="37">
        <f t="shared" si="26"/>
        <v>1.1150000168851508</v>
      </c>
      <c r="P175" s="37">
        <f t="shared" si="27"/>
        <v>0.71699658180003245</v>
      </c>
      <c r="Q175" s="39">
        <f t="shared" si="28"/>
        <v>4.9102649626947761</v>
      </c>
    </row>
    <row r="176" spans="2:17" customFormat="1" x14ac:dyDescent="0.25">
      <c r="B176" s="41" t="s">
        <v>1070</v>
      </c>
      <c r="C176" s="3" t="s">
        <v>318</v>
      </c>
      <c r="D176" s="3">
        <v>16</v>
      </c>
      <c r="E176" s="3">
        <v>10.795731338397903</v>
      </c>
      <c r="F176" s="3">
        <v>350</v>
      </c>
      <c r="G176" s="4">
        <v>17.10857142857143</v>
      </c>
      <c r="H176" s="7"/>
      <c r="I176" s="38">
        <f t="shared" si="33"/>
        <v>17.845472960968667</v>
      </c>
      <c r="J176" s="37">
        <f t="shared" si="34"/>
        <v>14.280000216251086</v>
      </c>
      <c r="K176" s="37">
        <f t="shared" si="35"/>
        <v>8.9716699891965614</v>
      </c>
      <c r="L176" s="39">
        <f t="shared" si="36"/>
        <v>49.503168797616027</v>
      </c>
      <c r="M176" s="117"/>
      <c r="N176" s="38">
        <f t="shared" si="25"/>
        <v>1.1153420600605417</v>
      </c>
      <c r="O176" s="37">
        <f t="shared" si="26"/>
        <v>0.89250001351569286</v>
      </c>
      <c r="P176" s="37">
        <f t="shared" si="27"/>
        <v>0.56072937432478509</v>
      </c>
      <c r="Q176" s="39">
        <f t="shared" si="28"/>
        <v>3.0939480498510017</v>
      </c>
    </row>
    <row r="177" spans="2:17" customFormat="1" x14ac:dyDescent="0.25">
      <c r="B177" s="41" t="s">
        <v>1070</v>
      </c>
      <c r="C177" s="3" t="s">
        <v>319</v>
      </c>
      <c r="D177" s="3">
        <v>16</v>
      </c>
      <c r="E177" s="3">
        <v>9.964127383759406</v>
      </c>
      <c r="F177" s="3">
        <v>350</v>
      </c>
      <c r="G177" s="4">
        <v>13.585714285714285</v>
      </c>
      <c r="H177" s="7"/>
      <c r="I177" s="38">
        <f t="shared" si="33"/>
        <v>17.033070093985263</v>
      </c>
      <c r="J177" s="37">
        <f t="shared" si="34"/>
        <v>13.180000199593085</v>
      </c>
      <c r="K177" s="37">
        <f t="shared" si="35"/>
        <v>8.3154256076404671</v>
      </c>
      <c r="L177" s="39">
        <f t="shared" si="36"/>
        <v>42.919272649566047</v>
      </c>
      <c r="M177" s="117"/>
      <c r="N177" s="38">
        <f t="shared" si="25"/>
        <v>1.0645668808740789</v>
      </c>
      <c r="O177" s="37">
        <f t="shared" si="26"/>
        <v>0.82375001247456781</v>
      </c>
      <c r="P177" s="37">
        <f t="shared" si="27"/>
        <v>0.5197141004775292</v>
      </c>
      <c r="Q177" s="39">
        <f t="shared" si="28"/>
        <v>2.6824545405978779</v>
      </c>
    </row>
    <row r="178" spans="2:17" customFormat="1" x14ac:dyDescent="0.25">
      <c r="B178" s="41" t="s">
        <v>1070</v>
      </c>
      <c r="C178" s="3" t="s">
        <v>320</v>
      </c>
      <c r="D178" s="3">
        <v>16</v>
      </c>
      <c r="E178" s="3">
        <v>12.534539607187481</v>
      </c>
      <c r="F178" s="3">
        <v>340</v>
      </c>
      <c r="G178" s="4">
        <v>19.182352941176468</v>
      </c>
      <c r="H178" s="7"/>
      <c r="I178" s="38">
        <f t="shared" si="33"/>
        <v>19.699471542129018</v>
      </c>
      <c r="J178" s="37">
        <f t="shared" si="34"/>
        <v>16.58000025108144</v>
      </c>
      <c r="K178" s="37">
        <f t="shared" si="35"/>
        <v>10.345548388114656</v>
      </c>
      <c r="L178" s="39">
        <f t="shared" si="36"/>
        <v>65.695620531208377</v>
      </c>
      <c r="M178" s="117"/>
      <c r="N178" s="38">
        <f t="shared" si="25"/>
        <v>1.2312169713830636</v>
      </c>
      <c r="O178" s="37">
        <f t="shared" si="26"/>
        <v>1.03625001569259</v>
      </c>
      <c r="P178" s="37">
        <f t="shared" si="27"/>
        <v>0.646596774257166</v>
      </c>
      <c r="Q178" s="39">
        <f t="shared" si="28"/>
        <v>4.1059762832005235</v>
      </c>
    </row>
    <row r="179" spans="2:17" customFormat="1" x14ac:dyDescent="0.25">
      <c r="B179" s="41" t="s">
        <v>1070</v>
      </c>
      <c r="C179" s="3" t="s">
        <v>321</v>
      </c>
      <c r="D179" s="3">
        <v>16</v>
      </c>
      <c r="E179" s="3">
        <v>14.348948235489644</v>
      </c>
      <c r="F179" s="3">
        <v>350</v>
      </c>
      <c r="G179" s="4">
        <v>24.805714285714284</v>
      </c>
      <c r="H179" s="7"/>
      <c r="I179" s="38">
        <f t="shared" si="33"/>
        <v>21.776458407675118</v>
      </c>
      <c r="J179" s="37">
        <f t="shared" si="34"/>
        <v>18.980000287426154</v>
      </c>
      <c r="K179" s="37">
        <f t="shared" si="35"/>
        <v>12.411534207377954</v>
      </c>
      <c r="L179" s="39">
        <f t="shared" si="36"/>
        <v>91.087629201985948</v>
      </c>
      <c r="M179" s="117"/>
      <c r="N179" s="38">
        <f t="shared" si="25"/>
        <v>1.3610286504796949</v>
      </c>
      <c r="O179" s="37">
        <f t="shared" si="26"/>
        <v>1.1862500179641347</v>
      </c>
      <c r="P179" s="37">
        <f t="shared" si="27"/>
        <v>0.77572088796112215</v>
      </c>
      <c r="Q179" s="39">
        <f t="shared" si="28"/>
        <v>5.6929768251241217</v>
      </c>
    </row>
    <row r="180" spans="2:17" customFormat="1" x14ac:dyDescent="0.25">
      <c r="B180" s="41" t="s">
        <v>1070</v>
      </c>
      <c r="C180" s="3" t="s">
        <v>322</v>
      </c>
      <c r="D180" s="3">
        <v>16</v>
      </c>
      <c r="E180" s="3">
        <v>13.592944640363745</v>
      </c>
      <c r="F180" s="3">
        <v>340</v>
      </c>
      <c r="G180" s="4">
        <v>22.111764705882354</v>
      </c>
      <c r="H180" s="7"/>
      <c r="I180" s="38">
        <f t="shared" si="33"/>
        <v>20.902988251903892</v>
      </c>
      <c r="J180" s="37">
        <f t="shared" si="34"/>
        <v>17.980000272282528</v>
      </c>
      <c r="K180" s="37">
        <f t="shared" si="35"/>
        <v>11.395654447291795</v>
      </c>
      <c r="L180" s="39">
        <f t="shared" si="36"/>
        <v>78.780889188045037</v>
      </c>
      <c r="M180" s="117"/>
      <c r="N180" s="38">
        <f t="shared" si="25"/>
        <v>1.3064367657439933</v>
      </c>
      <c r="O180" s="37">
        <f t="shared" si="26"/>
        <v>1.123750017017658</v>
      </c>
      <c r="P180" s="37">
        <f t="shared" si="27"/>
        <v>0.71222840295573719</v>
      </c>
      <c r="Q180" s="39">
        <f t="shared" si="28"/>
        <v>4.9238055742528148</v>
      </c>
    </row>
    <row r="181" spans="2:17" customFormat="1" x14ac:dyDescent="0.25">
      <c r="B181" s="41" t="s">
        <v>1070</v>
      </c>
      <c r="C181" s="3" t="s">
        <v>323</v>
      </c>
      <c r="D181" s="3">
        <v>12.416666666666666</v>
      </c>
      <c r="E181" s="3">
        <v>16.380681121134593</v>
      </c>
      <c r="F181" s="3">
        <v>360</v>
      </c>
      <c r="G181" s="4">
        <v>21.04</v>
      </c>
      <c r="H181" s="7"/>
      <c r="I181" s="38">
        <f t="shared" si="33"/>
        <v>22.047846426082902</v>
      </c>
      <c r="J181" s="37">
        <f t="shared" si="34"/>
        <v>18.940000148864286</v>
      </c>
      <c r="K181" s="37">
        <f t="shared" si="35"/>
        <v>12.446689620443991</v>
      </c>
      <c r="L181" s="39">
        <f t="shared" si="36"/>
        <v>93.767294970002638</v>
      </c>
      <c r="M181" s="117"/>
      <c r="N181" s="38">
        <f t="shared" si="25"/>
        <v>1.7756654839798311</v>
      </c>
      <c r="O181" s="37">
        <f t="shared" si="26"/>
        <v>1.5253691395058486</v>
      </c>
      <c r="P181" s="37">
        <f t="shared" si="27"/>
        <v>1.0024179560089119</v>
      </c>
      <c r="Q181" s="39">
        <f t="shared" si="28"/>
        <v>7.5517284539599441</v>
      </c>
    </row>
    <row r="182" spans="2:17" customFormat="1" x14ac:dyDescent="0.25">
      <c r="B182" s="41" t="s">
        <v>1070</v>
      </c>
      <c r="C182" s="3" t="s">
        <v>324</v>
      </c>
      <c r="D182" s="3">
        <v>12.416666666666666</v>
      </c>
      <c r="E182" s="3">
        <v>13.78606425928645</v>
      </c>
      <c r="F182" s="3">
        <v>440</v>
      </c>
      <c r="G182" s="4">
        <v>19.649999999999999</v>
      </c>
      <c r="H182" s="7"/>
      <c r="I182" s="38">
        <f t="shared" si="33"/>
        <v>18.849450001631809</v>
      </c>
      <c r="J182" s="37">
        <f t="shared" si="34"/>
        <v>15.940000125284932</v>
      </c>
      <c r="K182" s="37">
        <f t="shared" si="35"/>
        <v>11.191782401354978</v>
      </c>
      <c r="L182" s="39">
        <f t="shared" si="36"/>
        <v>67.953317004016</v>
      </c>
      <c r="M182" s="117"/>
      <c r="N182" s="38">
        <f t="shared" si="25"/>
        <v>1.518076510198535</v>
      </c>
      <c r="O182" s="37">
        <f t="shared" si="26"/>
        <v>1.2837583993518067</v>
      </c>
      <c r="P182" s="37">
        <f t="shared" si="27"/>
        <v>0.90135160279368953</v>
      </c>
      <c r="Q182" s="39">
        <f t="shared" si="28"/>
        <v>5.4727503627395437</v>
      </c>
    </row>
    <row r="183" spans="2:17" customFormat="1" x14ac:dyDescent="0.25">
      <c r="B183" s="41" t="s">
        <v>1070</v>
      </c>
      <c r="C183" s="3" t="s">
        <v>325</v>
      </c>
      <c r="D183" s="3">
        <v>12.5</v>
      </c>
      <c r="E183" s="3">
        <v>14.041074063055785</v>
      </c>
      <c r="F183" s="3">
        <v>620</v>
      </c>
      <c r="G183" s="4">
        <v>19.22</v>
      </c>
      <c r="H183" s="7"/>
      <c r="I183" s="38">
        <f t="shared" si="33"/>
        <v>18.693745779115638</v>
      </c>
      <c r="J183" s="37">
        <f t="shared" si="34"/>
        <v>16.300000131648655</v>
      </c>
      <c r="K183" s="37">
        <f t="shared" si="35"/>
        <v>15.464067486397111</v>
      </c>
      <c r="L183" s="39">
        <f t="shared" si="36"/>
        <v>94.626662914023555</v>
      </c>
      <c r="M183" s="117"/>
      <c r="N183" s="38">
        <f t="shared" si="25"/>
        <v>1.4954996623292509</v>
      </c>
      <c r="O183" s="37">
        <f t="shared" si="26"/>
        <v>1.3040000105318925</v>
      </c>
      <c r="P183" s="37">
        <f t="shared" si="27"/>
        <v>1.237125398911769</v>
      </c>
      <c r="Q183" s="39">
        <f t="shared" si="28"/>
        <v>7.5701330331218841</v>
      </c>
    </row>
    <row r="184" spans="2:17" customFormat="1" x14ac:dyDescent="0.25">
      <c r="B184" s="41" t="s">
        <v>1070</v>
      </c>
      <c r="C184" s="3" t="s">
        <v>326</v>
      </c>
      <c r="D184" s="3">
        <v>10</v>
      </c>
      <c r="E184" s="3">
        <v>13.999999999999996</v>
      </c>
      <c r="F184" s="3">
        <v>520</v>
      </c>
      <c r="G184" s="4">
        <v>14.77</v>
      </c>
      <c r="H184" s="7"/>
      <c r="I184" s="38">
        <f t="shared" si="33"/>
        <v>16.931442562719486</v>
      </c>
      <c r="J184" s="37">
        <f t="shared" si="34"/>
        <v>13.999999999999996</v>
      </c>
      <c r="K184" s="37">
        <f t="shared" si="35"/>
        <v>10.49193325005978</v>
      </c>
      <c r="L184" s="39">
        <f t="shared" si="36"/>
        <v>55.546927276429052</v>
      </c>
      <c r="M184" s="117"/>
      <c r="N184" s="38">
        <f t="shared" si="25"/>
        <v>1.6931442562719485</v>
      </c>
      <c r="O184" s="37">
        <f t="shared" si="26"/>
        <v>1.3999999999999997</v>
      </c>
      <c r="P184" s="37">
        <f t="shared" si="27"/>
        <v>1.049193325005978</v>
      </c>
      <c r="Q184" s="39">
        <f t="shared" si="28"/>
        <v>5.5546927276429052</v>
      </c>
    </row>
    <row r="185" spans="2:17" customFormat="1" x14ac:dyDescent="0.25">
      <c r="B185" s="41" t="s">
        <v>1070</v>
      </c>
      <c r="C185" s="3" t="s">
        <v>327</v>
      </c>
      <c r="D185" s="3">
        <v>12.416666666666666</v>
      </c>
      <c r="E185" s="3">
        <v>14.270392740164771</v>
      </c>
      <c r="F185" s="3">
        <v>540</v>
      </c>
      <c r="G185" s="4">
        <v>19.989999999999998</v>
      </c>
      <c r="H185" s="7"/>
      <c r="I185" s="38">
        <f t="shared" si="33"/>
        <v>19.09486960613707</v>
      </c>
      <c r="J185" s="37">
        <f t="shared" si="34"/>
        <v>16.500000129686413</v>
      </c>
      <c r="K185" s="37">
        <f t="shared" si="35"/>
        <v>13.774497050448723</v>
      </c>
      <c r="L185" s="39">
        <f t="shared" si="36"/>
        <v>86.145608533165245</v>
      </c>
      <c r="M185" s="117"/>
      <c r="N185" s="38">
        <f t="shared" si="25"/>
        <v>1.5378418474741264</v>
      </c>
      <c r="O185" s="37">
        <f t="shared" si="26"/>
        <v>1.3288590708472279</v>
      </c>
      <c r="P185" s="37">
        <f t="shared" si="27"/>
        <v>1.1093554671502328</v>
      </c>
      <c r="Q185" s="39">
        <f t="shared" si="28"/>
        <v>6.9379013583757247</v>
      </c>
    </row>
    <row r="186" spans="2:17" customFormat="1" x14ac:dyDescent="0.25">
      <c r="B186" s="41" t="s">
        <v>1070</v>
      </c>
      <c r="C186" s="3" t="s">
        <v>328</v>
      </c>
      <c r="D186" s="3">
        <v>12.416666666666666</v>
      </c>
      <c r="E186" s="3">
        <v>12.108212021957986</v>
      </c>
      <c r="F186" s="3">
        <v>540</v>
      </c>
      <c r="G186" s="4">
        <v>17.68</v>
      </c>
      <c r="H186" s="7"/>
      <c r="I186" s="38">
        <f t="shared" si="33"/>
        <v>16.916289453383879</v>
      </c>
      <c r="J186" s="37">
        <f t="shared" si="34"/>
        <v>14.000000110036954</v>
      </c>
      <c r="K186" s="37">
        <f t="shared" si="35"/>
        <v>11.305881687550981</v>
      </c>
      <c r="L186" s="39">
        <f t="shared" si="36"/>
        <v>59.44053155358592</v>
      </c>
      <c r="M186" s="117"/>
      <c r="N186" s="38">
        <f t="shared" si="25"/>
        <v>1.3623857277893057</v>
      </c>
      <c r="O186" s="37">
        <f t="shared" si="26"/>
        <v>1.1275167873855265</v>
      </c>
      <c r="P186" s="37">
        <f t="shared" si="27"/>
        <v>0.91054080705108575</v>
      </c>
      <c r="Q186" s="39">
        <f t="shared" si="28"/>
        <v>4.7871569036445036</v>
      </c>
    </row>
    <row r="187" spans="2:17" customFormat="1" x14ac:dyDescent="0.25">
      <c r="B187" s="41" t="s">
        <v>1070</v>
      </c>
      <c r="C187" s="3" t="s">
        <v>329</v>
      </c>
      <c r="D187" s="3">
        <v>11.416666666666666</v>
      </c>
      <c r="E187" s="3">
        <v>15.497171433954387</v>
      </c>
      <c r="F187" s="3">
        <v>720</v>
      </c>
      <c r="G187" s="4">
        <v>19.97</v>
      </c>
      <c r="H187" s="7"/>
      <c r="I187" s="38">
        <f t="shared" si="33"/>
        <v>19.172404806804295</v>
      </c>
      <c r="J187" s="37">
        <f t="shared" si="34"/>
        <v>17.000000085187548</v>
      </c>
      <c r="K187" s="37">
        <f t="shared" si="35"/>
        <v>19.127519864410402</v>
      </c>
      <c r="L187" s="39">
        <f t="shared" si="36"/>
        <v>123.08763025340885</v>
      </c>
      <c r="M187" s="117"/>
      <c r="N187" s="38">
        <f t="shared" si="25"/>
        <v>1.6793347276032959</v>
      </c>
      <c r="O187" s="37">
        <f t="shared" si="26"/>
        <v>1.489051102352194</v>
      </c>
      <c r="P187" s="37">
        <f t="shared" si="27"/>
        <v>1.6754031998023711</v>
      </c>
      <c r="Q187" s="39">
        <f t="shared" si="28"/>
        <v>10.781398270371579</v>
      </c>
    </row>
    <row r="188" spans="2:17" customFormat="1" x14ac:dyDescent="0.25">
      <c r="B188" s="41" t="s">
        <v>1070</v>
      </c>
      <c r="C188" s="3" t="s">
        <v>330</v>
      </c>
      <c r="D188" s="3">
        <v>11.416666666666666</v>
      </c>
      <c r="E188" s="3">
        <v>16.95572874538539</v>
      </c>
      <c r="F188" s="3">
        <v>720</v>
      </c>
      <c r="G188" s="4">
        <v>20.13</v>
      </c>
      <c r="H188" s="7"/>
      <c r="I188" s="38">
        <f t="shared" si="33"/>
        <v>20.804972998541672</v>
      </c>
      <c r="J188" s="37">
        <f t="shared" si="34"/>
        <v>18.6000000932052</v>
      </c>
      <c r="K188" s="37">
        <f t="shared" si="35"/>
        <v>21.853349653965083</v>
      </c>
      <c r="L188" s="39">
        <f t="shared" si="36"/>
        <v>158.09669757484215</v>
      </c>
      <c r="M188" s="117"/>
      <c r="N188" s="38">
        <f t="shared" si="25"/>
        <v>1.8223334013321173</v>
      </c>
      <c r="O188" s="37">
        <f t="shared" si="26"/>
        <v>1.6291970884559299</v>
      </c>
      <c r="P188" s="37">
        <f t="shared" si="27"/>
        <v>1.9141620134859927</v>
      </c>
      <c r="Q188" s="39">
        <f t="shared" si="28"/>
        <v>13.847885918964277</v>
      </c>
    </row>
    <row r="189" spans="2:17" customFormat="1" x14ac:dyDescent="0.25">
      <c r="B189" s="41" t="s">
        <v>1070</v>
      </c>
      <c r="C189" s="3" t="s">
        <v>331</v>
      </c>
      <c r="D189" s="3">
        <v>8</v>
      </c>
      <c r="E189" s="3">
        <v>17.83387869286021</v>
      </c>
      <c r="F189" s="3">
        <v>840</v>
      </c>
      <c r="G189" s="4">
        <v>13.3</v>
      </c>
      <c r="H189" s="7"/>
      <c r="I189" s="38">
        <f t="shared" si="33"/>
        <v>17.459655255565849</v>
      </c>
      <c r="J189" s="37">
        <f t="shared" si="34"/>
        <v>14.79999985058282</v>
      </c>
      <c r="K189" s="37">
        <f t="shared" si="35"/>
        <v>19.062559748009814</v>
      </c>
      <c r="L189" s="39">
        <f t="shared" si="36"/>
        <v>110.3709088003003</v>
      </c>
      <c r="M189" s="117"/>
      <c r="N189" s="38">
        <f t="shared" si="25"/>
        <v>2.1824569069457311</v>
      </c>
      <c r="O189" s="37">
        <f t="shared" si="26"/>
        <v>1.8499999813228525</v>
      </c>
      <c r="P189" s="37">
        <f t="shared" si="27"/>
        <v>2.3828199685012268</v>
      </c>
      <c r="Q189" s="39">
        <f t="shared" si="28"/>
        <v>13.796363600037537</v>
      </c>
    </row>
    <row r="190" spans="2:17" customFormat="1" x14ac:dyDescent="0.25">
      <c r="B190" s="41" t="s">
        <v>1070</v>
      </c>
      <c r="C190" s="3" t="s">
        <v>332</v>
      </c>
      <c r="D190" s="3">
        <v>8</v>
      </c>
      <c r="E190" s="3">
        <v>14.459901642859631</v>
      </c>
      <c r="F190" s="3">
        <v>880</v>
      </c>
      <c r="G190" s="4">
        <v>15.65</v>
      </c>
      <c r="H190" s="7"/>
      <c r="I190" s="38">
        <f t="shared" si="33"/>
        <v>14.370473056046567</v>
      </c>
      <c r="J190" s="37">
        <f t="shared" si="34"/>
        <v>11.999999878850938</v>
      </c>
      <c r="K190" s="37">
        <f t="shared" si="35"/>
        <v>14.952877421172595</v>
      </c>
      <c r="L190" s="39">
        <f t="shared" si="36"/>
        <v>65.789583507292249</v>
      </c>
      <c r="M190" s="117"/>
      <c r="N190" s="38">
        <f t="shared" si="25"/>
        <v>1.7963091320058209</v>
      </c>
      <c r="O190" s="37">
        <f t="shared" si="26"/>
        <v>1.4999999848563672</v>
      </c>
      <c r="P190" s="37">
        <f t="shared" si="27"/>
        <v>1.8691096776465743</v>
      </c>
      <c r="Q190" s="39">
        <f t="shared" si="28"/>
        <v>8.2236979384115312</v>
      </c>
    </row>
    <row r="191" spans="2:17" customFormat="1" x14ac:dyDescent="0.25">
      <c r="B191" s="41" t="s">
        <v>1070</v>
      </c>
      <c r="C191" s="3" t="s">
        <v>333</v>
      </c>
      <c r="D191" s="3">
        <v>8</v>
      </c>
      <c r="E191" s="3">
        <v>14.459901642859631</v>
      </c>
      <c r="F191" s="3">
        <v>760</v>
      </c>
      <c r="G191" s="4">
        <v>15.9</v>
      </c>
      <c r="H191" s="7"/>
      <c r="I191" s="38">
        <f t="shared" si="33"/>
        <v>14.617444134630261</v>
      </c>
      <c r="J191" s="37">
        <f t="shared" si="34"/>
        <v>11.999999878850938</v>
      </c>
      <c r="K191" s="37">
        <f t="shared" si="35"/>
        <v>12.290464907323964</v>
      </c>
      <c r="L191" s="39">
        <f t="shared" si="36"/>
        <v>54.682379101106882</v>
      </c>
      <c r="M191" s="117"/>
      <c r="N191" s="38">
        <f t="shared" si="25"/>
        <v>1.8271805168287827</v>
      </c>
      <c r="O191" s="37">
        <f t="shared" si="26"/>
        <v>1.4999999848563672</v>
      </c>
      <c r="P191" s="37">
        <f t="shared" si="27"/>
        <v>1.5363081134154954</v>
      </c>
      <c r="Q191" s="39">
        <f t="shared" si="28"/>
        <v>6.8352973876383603</v>
      </c>
    </row>
    <row r="192" spans="2:17" customFormat="1" x14ac:dyDescent="0.25">
      <c r="B192" s="41" t="s">
        <v>1070</v>
      </c>
      <c r="C192" s="3" t="s">
        <v>334</v>
      </c>
      <c r="D192" s="3">
        <v>6.083333333333333</v>
      </c>
      <c r="E192" s="3">
        <v>11.282807951235467</v>
      </c>
      <c r="F192" s="3">
        <v>280</v>
      </c>
      <c r="G192" s="4">
        <v>14.31</v>
      </c>
      <c r="H192" s="7"/>
      <c r="I192" s="38">
        <f t="shared" si="33"/>
        <v>10.527147500086958</v>
      </c>
      <c r="J192" s="37">
        <f t="shared" si="34"/>
        <v>6.9799998185198122</v>
      </c>
      <c r="K192" s="37">
        <f t="shared" si="35"/>
        <v>2.7171615373731317</v>
      </c>
      <c r="L192" s="39">
        <f t="shared" si="36"/>
        <v>7.2787018202079654</v>
      </c>
      <c r="M192" s="117"/>
      <c r="N192" s="38">
        <f t="shared" si="25"/>
        <v>1.7304900000142944</v>
      </c>
      <c r="O192" s="37">
        <f t="shared" si="26"/>
        <v>1.1473972304416131</v>
      </c>
      <c r="P192" s="37">
        <f t="shared" si="27"/>
        <v>0.44665669107503536</v>
      </c>
      <c r="Q192" s="39">
        <f t="shared" si="28"/>
        <v>1.1964989293492547</v>
      </c>
    </row>
    <row r="193" spans="2:17" customFormat="1" x14ac:dyDescent="0.25">
      <c r="B193" s="41" t="s">
        <v>1070</v>
      </c>
      <c r="C193" s="3" t="s">
        <v>335</v>
      </c>
      <c r="D193" s="3">
        <v>7.583333333333333</v>
      </c>
      <c r="E193" s="3">
        <v>11.795474566874709</v>
      </c>
      <c r="F193" s="3">
        <v>680</v>
      </c>
      <c r="G193" s="4">
        <v>13.74</v>
      </c>
      <c r="H193" s="7"/>
      <c r="I193" s="38">
        <f t="shared" si="33"/>
        <v>12.258309662706511</v>
      </c>
      <c r="J193" s="37">
        <f t="shared" si="34"/>
        <v>9.2999998803153776</v>
      </c>
      <c r="K193" s="37">
        <f t="shared" si="35"/>
        <v>7.8375136783701933</v>
      </c>
      <c r="L193" s="39">
        <f t="shared" si="36"/>
        <v>26.93452638066772</v>
      </c>
      <c r="M193" s="117"/>
      <c r="N193" s="38">
        <f t="shared" si="25"/>
        <v>1.6164803950821773</v>
      </c>
      <c r="O193" s="37">
        <f t="shared" si="26"/>
        <v>1.2263736105910388</v>
      </c>
      <c r="P193" s="37">
        <f t="shared" si="27"/>
        <v>1.0335182872576079</v>
      </c>
      <c r="Q193" s="39">
        <f t="shared" si="28"/>
        <v>3.5518056765715675</v>
      </c>
    </row>
    <row r="194" spans="2:17" customFormat="1" x14ac:dyDescent="0.25">
      <c r="B194" s="41" t="s">
        <v>1070</v>
      </c>
      <c r="C194" s="3" t="s">
        <v>336</v>
      </c>
      <c r="D194" s="3">
        <v>6.083333333333333</v>
      </c>
      <c r="E194" s="3">
        <v>12.705282306119024</v>
      </c>
      <c r="F194" s="3">
        <v>760</v>
      </c>
      <c r="G194" s="4">
        <v>12.13</v>
      </c>
      <c r="H194" s="7"/>
      <c r="I194" s="38">
        <f t="shared" si="33"/>
        <v>10.649317333115153</v>
      </c>
      <c r="J194" s="37">
        <f t="shared" si="34"/>
        <v>7.8599997956397871</v>
      </c>
      <c r="K194" s="37">
        <f t="shared" si="35"/>
        <v>6.7790570427604999</v>
      </c>
      <c r="L194" s="39">
        <f t="shared" si="36"/>
        <v>19.467578899051833</v>
      </c>
      <c r="M194" s="117"/>
      <c r="N194" s="38">
        <f t="shared" si="25"/>
        <v>1.750572712292902</v>
      </c>
      <c r="O194" s="37">
        <f t="shared" si="26"/>
        <v>1.2920547609270883</v>
      </c>
      <c r="P194" s="37">
        <f t="shared" si="27"/>
        <v>1.1143655412756988</v>
      </c>
      <c r="Q194" s="39">
        <f t="shared" si="28"/>
        <v>3.2001499560085209</v>
      </c>
    </row>
    <row r="195" spans="2:17" customFormat="1" x14ac:dyDescent="0.25">
      <c r="B195" s="41" t="s">
        <v>1070</v>
      </c>
      <c r="C195" s="3" t="s">
        <v>337</v>
      </c>
      <c r="D195" s="3">
        <v>8</v>
      </c>
      <c r="E195" s="3">
        <v>15.664893446431266</v>
      </c>
      <c r="F195" s="3">
        <v>600</v>
      </c>
      <c r="G195" s="4">
        <v>15.13</v>
      </c>
      <c r="H195" s="7"/>
      <c r="I195" s="38">
        <f t="shared" si="33"/>
        <v>15.997763000824664</v>
      </c>
      <c r="J195" s="37">
        <f t="shared" si="34"/>
        <v>12.999999868755181</v>
      </c>
      <c r="K195" s="37">
        <f t="shared" si="35"/>
        <v>10.563967387456822</v>
      </c>
      <c r="L195" s="39">
        <f t="shared" si="36"/>
        <v>52.550582860839626</v>
      </c>
      <c r="M195" s="117"/>
      <c r="N195" s="38">
        <f t="shared" si="25"/>
        <v>1.999720375103083</v>
      </c>
      <c r="O195" s="37">
        <f t="shared" si="26"/>
        <v>1.6249999835943976</v>
      </c>
      <c r="P195" s="37">
        <f t="shared" si="27"/>
        <v>1.3204959234321028</v>
      </c>
      <c r="Q195" s="39">
        <f t="shared" si="28"/>
        <v>6.5688228576049532</v>
      </c>
    </row>
    <row r="196" spans="2:17" customFormat="1" x14ac:dyDescent="0.25">
      <c r="B196" s="41" t="s">
        <v>1070</v>
      </c>
      <c r="C196" s="3" t="s">
        <v>338</v>
      </c>
      <c r="D196" s="3">
        <v>8</v>
      </c>
      <c r="E196" s="3">
        <v>16.411988364645676</v>
      </c>
      <c r="F196" s="3">
        <v>660</v>
      </c>
      <c r="G196" s="4">
        <v>15.05</v>
      </c>
      <c r="H196" s="7"/>
      <c r="I196" s="38">
        <f t="shared" si="33"/>
        <v>16.540090052255675</v>
      </c>
      <c r="J196" s="37">
        <f t="shared" si="34"/>
        <v>13.61999986249581</v>
      </c>
      <c r="K196" s="37">
        <f t="shared" si="35"/>
        <v>12.47503321569876</v>
      </c>
      <c r="L196" s="39">
        <f t="shared" si="36"/>
        <v>65.526122714260453</v>
      </c>
      <c r="M196" s="117"/>
      <c r="N196" s="38">
        <f t="shared" si="25"/>
        <v>2.0675112565319593</v>
      </c>
      <c r="O196" s="37">
        <f t="shared" si="26"/>
        <v>1.7024999828119762</v>
      </c>
      <c r="P196" s="37">
        <f t="shared" si="27"/>
        <v>1.559379151962345</v>
      </c>
      <c r="Q196" s="39">
        <f t="shared" si="28"/>
        <v>8.1907653392825566</v>
      </c>
    </row>
    <row r="197" spans="2:17" customFormat="1" x14ac:dyDescent="0.25">
      <c r="B197" s="41" t="s">
        <v>1070</v>
      </c>
      <c r="C197" s="3" t="s">
        <v>339</v>
      </c>
      <c r="D197" s="3">
        <v>8</v>
      </c>
      <c r="E197" s="3">
        <v>15.664893446431266</v>
      </c>
      <c r="F197" s="3">
        <v>800</v>
      </c>
      <c r="G197" s="4">
        <v>15.63</v>
      </c>
      <c r="H197" s="7"/>
      <c r="I197" s="38">
        <f t="shared" si="33"/>
        <v>15.549817465707747</v>
      </c>
      <c r="J197" s="37">
        <f t="shared" si="34"/>
        <v>12.999999868755181</v>
      </c>
      <c r="K197" s="37">
        <f t="shared" si="35"/>
        <v>14.647195845677073</v>
      </c>
      <c r="L197" s="39">
        <f t="shared" si="36"/>
        <v>71.519932624189721</v>
      </c>
      <c r="M197" s="117"/>
      <c r="N197" s="38">
        <f t="shared" si="25"/>
        <v>1.9437271832134684</v>
      </c>
      <c r="O197" s="37">
        <f t="shared" si="26"/>
        <v>1.6249999835943976</v>
      </c>
      <c r="P197" s="37">
        <f t="shared" si="27"/>
        <v>1.8308994807096342</v>
      </c>
      <c r="Q197" s="39">
        <f t="shared" si="28"/>
        <v>8.9399915780237151</v>
      </c>
    </row>
    <row r="198" spans="2:17" customFormat="1" x14ac:dyDescent="0.25">
      <c r="B198" s="41" t="s">
        <v>1070</v>
      </c>
      <c r="C198" s="3" t="s">
        <v>340</v>
      </c>
      <c r="D198" s="3">
        <v>8</v>
      </c>
      <c r="E198" s="3">
        <v>16.869885250002898</v>
      </c>
      <c r="F198" s="3">
        <v>760</v>
      </c>
      <c r="G198" s="4">
        <v>16.510000000000002</v>
      </c>
      <c r="H198" s="7"/>
      <c r="I198" s="38">
        <f t="shared" si="33"/>
        <v>16.730646891146627</v>
      </c>
      <c r="J198" s="37">
        <f t="shared" si="34"/>
        <v>13.999999858659423</v>
      </c>
      <c r="K198" s="37">
        <f t="shared" si="35"/>
        <v>15.31685817960541</v>
      </c>
      <c r="L198" s="39">
        <f t="shared" si="36"/>
        <v>82.692661126520477</v>
      </c>
      <c r="M198" s="117"/>
      <c r="N198" s="38">
        <f t="shared" ref="N198:N261" si="37">I198/D198</f>
        <v>2.0913308613933284</v>
      </c>
      <c r="O198" s="37">
        <f t="shared" ref="O198:O261" si="38">J198/D198</f>
        <v>1.7499999823324279</v>
      </c>
      <c r="P198" s="37">
        <f t="shared" ref="P198:P261" si="39">K198/D198</f>
        <v>1.9146072724506762</v>
      </c>
      <c r="Q198" s="39">
        <f t="shared" ref="Q198:Q261" si="40">L198/D198</f>
        <v>10.33658264081506</v>
      </c>
    </row>
    <row r="199" spans="2:17" customFormat="1" x14ac:dyDescent="0.25">
      <c r="B199" s="41" t="s">
        <v>1070</v>
      </c>
      <c r="C199" s="3" t="s">
        <v>341</v>
      </c>
      <c r="D199" s="3">
        <v>8</v>
      </c>
      <c r="E199" s="3">
        <v>14.459901642859631</v>
      </c>
      <c r="F199" s="3">
        <v>600</v>
      </c>
      <c r="G199" s="4">
        <v>15.16</v>
      </c>
      <c r="H199" s="7"/>
      <c r="I199" s="38">
        <f t="shared" si="33"/>
        <v>14.953353951335318</v>
      </c>
      <c r="J199" s="37">
        <f t="shared" si="34"/>
        <v>11.999999878850938</v>
      </c>
      <c r="K199" s="37">
        <f t="shared" si="35"/>
        <v>9.4629459989232956</v>
      </c>
      <c r="L199" s="39">
        <f t="shared" si="36"/>
        <v>42.733430108242494</v>
      </c>
      <c r="M199" s="117"/>
      <c r="N199" s="38">
        <f t="shared" si="37"/>
        <v>1.8691692439169147</v>
      </c>
      <c r="O199" s="37">
        <f t="shared" si="38"/>
        <v>1.4999999848563672</v>
      </c>
      <c r="P199" s="37">
        <f t="shared" si="39"/>
        <v>1.1828682498654119</v>
      </c>
      <c r="Q199" s="39">
        <f t="shared" si="40"/>
        <v>5.3416787635303118</v>
      </c>
    </row>
    <row r="200" spans="2:17" customFormat="1" x14ac:dyDescent="0.25">
      <c r="B200" s="41" t="s">
        <v>1070</v>
      </c>
      <c r="C200" s="3" t="s">
        <v>342</v>
      </c>
      <c r="D200" s="3">
        <v>8</v>
      </c>
      <c r="E200" s="3">
        <v>15.664893446431266</v>
      </c>
      <c r="F200" s="3">
        <v>1040</v>
      </c>
      <c r="G200" s="4">
        <v>15.3</v>
      </c>
      <c r="H200" s="7"/>
      <c r="I200" s="38">
        <f t="shared" si="33"/>
        <v>15.028808111925297</v>
      </c>
      <c r="J200" s="37">
        <f t="shared" si="34"/>
        <v>12.999999868755181</v>
      </c>
      <c r="K200" s="37">
        <f t="shared" si="35"/>
        <v>21.680406085791756</v>
      </c>
      <c r="L200" s="39">
        <f t="shared" si="36"/>
        <v>103.52531672255789</v>
      </c>
      <c r="M200" s="117"/>
      <c r="N200" s="38">
        <f t="shared" si="37"/>
        <v>1.8786010139906621</v>
      </c>
      <c r="O200" s="37">
        <f t="shared" si="38"/>
        <v>1.6249999835943976</v>
      </c>
      <c r="P200" s="37">
        <f t="shared" si="39"/>
        <v>2.7100507607239694</v>
      </c>
      <c r="Q200" s="39">
        <f t="shared" si="40"/>
        <v>12.940664590319736</v>
      </c>
    </row>
    <row r="201" spans="2:17" customFormat="1" x14ac:dyDescent="0.25">
      <c r="B201" s="41" t="s">
        <v>1070</v>
      </c>
      <c r="C201" s="3" t="s">
        <v>343</v>
      </c>
      <c r="D201" s="3">
        <v>8</v>
      </c>
      <c r="E201" s="3">
        <v>14.459901642859631</v>
      </c>
      <c r="F201" s="3">
        <v>640</v>
      </c>
      <c r="G201" s="4">
        <v>14.78</v>
      </c>
      <c r="H201" s="7"/>
      <c r="I201" s="38">
        <f t="shared" si="33"/>
        <v>14.868659660381345</v>
      </c>
      <c r="J201" s="37">
        <f t="shared" si="34"/>
        <v>11.999999878850938</v>
      </c>
      <c r="K201" s="37">
        <f t="shared" si="35"/>
        <v>10.102104323029762</v>
      </c>
      <c r="L201" s="39">
        <f t="shared" si="36"/>
        <v>45.450395408351156</v>
      </c>
      <c r="M201" s="117"/>
      <c r="N201" s="38">
        <f t="shared" si="37"/>
        <v>1.8585824575476682</v>
      </c>
      <c r="O201" s="37">
        <f t="shared" si="38"/>
        <v>1.4999999848563672</v>
      </c>
      <c r="P201" s="37">
        <f t="shared" si="39"/>
        <v>1.2627630403787202</v>
      </c>
      <c r="Q201" s="39">
        <f t="shared" si="40"/>
        <v>5.6812994260438945</v>
      </c>
    </row>
    <row r="202" spans="2:17" customFormat="1" x14ac:dyDescent="0.25">
      <c r="B202" s="41" t="s">
        <v>1070</v>
      </c>
      <c r="C202" s="3" t="s">
        <v>344</v>
      </c>
      <c r="D202" s="3">
        <v>8</v>
      </c>
      <c r="E202" s="3">
        <v>13.254909839287997</v>
      </c>
      <c r="F202" s="3">
        <v>640</v>
      </c>
      <c r="G202" s="4">
        <v>14.03</v>
      </c>
      <c r="H202" s="7"/>
      <c r="I202" s="38">
        <f t="shared" ref="I202:I233" si="41">EXP(2.673197 -5.545766/D202+ 0.056028*E202-0.000142*F202)</f>
        <v>13.897963776070585</v>
      </c>
      <c r="J202" s="37">
        <f t="shared" ref="J202:J233" si="42">EXP(LN(E202) -7.458911 * (1/D202- 0.1))</f>
        <v>10.999999888946693</v>
      </c>
      <c r="K202" s="37">
        <f t="shared" ref="K202:K233" si="43">EXP(1.325956 -11.038033/D202+ 0.091341*E202+ 0.001634*F202)</f>
        <v>9.0492202577060432</v>
      </c>
      <c r="L202" s="39">
        <f t="shared" ref="L202:L233" si="44">EXP(2.671109 -18.578108/D202+ 0.171615*E202+ 0.001541*F202)</f>
        <v>36.959652773368468</v>
      </c>
      <c r="M202" s="117"/>
      <c r="N202" s="38">
        <f t="shared" si="37"/>
        <v>1.7372454720088231</v>
      </c>
      <c r="O202" s="37">
        <f t="shared" si="38"/>
        <v>1.3749999861183366</v>
      </c>
      <c r="P202" s="37">
        <f t="shared" si="39"/>
        <v>1.1311525322132554</v>
      </c>
      <c r="Q202" s="39">
        <f t="shared" si="40"/>
        <v>4.6199565966710585</v>
      </c>
    </row>
    <row r="203" spans="2:17" customFormat="1" x14ac:dyDescent="0.25">
      <c r="B203" s="41" t="s">
        <v>1070</v>
      </c>
      <c r="C203" s="3" t="s">
        <v>345</v>
      </c>
      <c r="D203" s="3">
        <v>8</v>
      </c>
      <c r="E203" s="3">
        <v>14.459901642859631</v>
      </c>
      <c r="F203" s="3">
        <v>620</v>
      </c>
      <c r="G203" s="4">
        <v>14.87</v>
      </c>
      <c r="H203" s="7"/>
      <c r="I203" s="38">
        <f t="shared" si="41"/>
        <v>14.910946672952171</v>
      </c>
      <c r="J203" s="37">
        <f t="shared" si="42"/>
        <v>11.999999878850938</v>
      </c>
      <c r="K203" s="37">
        <f t="shared" si="43"/>
        <v>9.7773037021624845</v>
      </c>
      <c r="L203" s="39">
        <f t="shared" si="44"/>
        <v>44.070980197571743</v>
      </c>
      <c r="M203" s="117"/>
      <c r="N203" s="38">
        <f t="shared" si="37"/>
        <v>1.8638683341190214</v>
      </c>
      <c r="O203" s="37">
        <f t="shared" si="38"/>
        <v>1.4999999848563672</v>
      </c>
      <c r="P203" s="37">
        <f t="shared" si="39"/>
        <v>1.2221629627703106</v>
      </c>
      <c r="Q203" s="39">
        <f t="shared" si="40"/>
        <v>5.5088725246964678</v>
      </c>
    </row>
    <row r="204" spans="2:17" customFormat="1" x14ac:dyDescent="0.25">
      <c r="B204" s="41" t="s">
        <v>1070</v>
      </c>
      <c r="C204" s="3" t="s">
        <v>346</v>
      </c>
      <c r="D204" s="3">
        <v>8.25</v>
      </c>
      <c r="E204" s="3">
        <v>12.428798857388914</v>
      </c>
      <c r="F204" s="3">
        <v>450</v>
      </c>
      <c r="G204" s="4">
        <v>18.940000000000001</v>
      </c>
      <c r="H204" s="7"/>
      <c r="I204" s="38">
        <f t="shared" si="41"/>
        <v>13.921629109345693</v>
      </c>
      <c r="J204" s="37">
        <f t="shared" si="42"/>
        <v>10.609999909113725</v>
      </c>
      <c r="K204" s="37">
        <f t="shared" si="43"/>
        <v>6.4145671587945641</v>
      </c>
      <c r="L204" s="39">
        <f t="shared" si="44"/>
        <v>25.678021645382636</v>
      </c>
      <c r="M204" s="117"/>
      <c r="N204" s="38">
        <f t="shared" si="37"/>
        <v>1.6874701950722051</v>
      </c>
      <c r="O204" s="37">
        <f t="shared" si="38"/>
        <v>1.2860605950440878</v>
      </c>
      <c r="P204" s="37">
        <f t="shared" si="39"/>
        <v>0.77752329197509873</v>
      </c>
      <c r="Q204" s="39">
        <f t="shared" si="40"/>
        <v>3.1124874721675924</v>
      </c>
    </row>
    <row r="205" spans="2:17" customFormat="1" x14ac:dyDescent="0.25">
      <c r="B205" s="41" t="s">
        <v>1070</v>
      </c>
      <c r="C205" s="3" t="s">
        <v>347</v>
      </c>
      <c r="D205" s="3">
        <v>8.25</v>
      </c>
      <c r="E205" s="3">
        <v>16.153924245371648</v>
      </c>
      <c r="F205" s="3">
        <v>300</v>
      </c>
      <c r="G205" s="4">
        <v>24.01</v>
      </c>
      <c r="H205" s="7"/>
      <c r="I205" s="38">
        <f t="shared" si="41"/>
        <v>17.521960974509756</v>
      </c>
      <c r="J205" s="37">
        <f t="shared" si="42"/>
        <v>13.789999881873547</v>
      </c>
      <c r="K205" s="37">
        <f t="shared" si="43"/>
        <v>7.0549408458531158</v>
      </c>
      <c r="L205" s="39">
        <f t="shared" si="44"/>
        <v>38.620098619432156</v>
      </c>
      <c r="M205" s="117"/>
      <c r="N205" s="38">
        <f t="shared" si="37"/>
        <v>2.1238740575163342</v>
      </c>
      <c r="O205" s="37">
        <f t="shared" si="38"/>
        <v>1.6715151371967936</v>
      </c>
      <c r="P205" s="37">
        <f t="shared" si="39"/>
        <v>0.85514434495189284</v>
      </c>
      <c r="Q205" s="39">
        <f t="shared" si="40"/>
        <v>4.6812240750826852</v>
      </c>
    </row>
    <row r="206" spans="2:17" customFormat="1" x14ac:dyDescent="0.25">
      <c r="B206" s="41" t="s">
        <v>1070</v>
      </c>
      <c r="C206" s="3" t="s">
        <v>348</v>
      </c>
      <c r="D206" s="3">
        <v>8.25</v>
      </c>
      <c r="E206" s="3">
        <v>14.70135962867398</v>
      </c>
      <c r="F206" s="3">
        <v>560</v>
      </c>
      <c r="G206" s="4">
        <v>21.41</v>
      </c>
      <c r="H206" s="7"/>
      <c r="I206" s="38">
        <f t="shared" si="41"/>
        <v>15.566959955743126</v>
      </c>
      <c r="J206" s="37">
        <f t="shared" si="42"/>
        <v>12.549999892495505</v>
      </c>
      <c r="K206" s="37">
        <f t="shared" si="43"/>
        <v>9.4488165031733615</v>
      </c>
      <c r="L206" s="39">
        <f t="shared" si="44"/>
        <v>44.932032266026006</v>
      </c>
      <c r="M206" s="117"/>
      <c r="N206" s="38">
        <f t="shared" si="37"/>
        <v>1.8869042370597728</v>
      </c>
      <c r="O206" s="37">
        <f t="shared" si="38"/>
        <v>1.5212121081812733</v>
      </c>
      <c r="P206" s="37">
        <f t="shared" si="39"/>
        <v>1.1453110912937408</v>
      </c>
      <c r="Q206" s="39">
        <f t="shared" si="40"/>
        <v>5.446306941336486</v>
      </c>
    </row>
    <row r="207" spans="2:17" customFormat="1" x14ac:dyDescent="0.25">
      <c r="B207" s="41" t="s">
        <v>1070</v>
      </c>
      <c r="C207" s="3" t="s">
        <v>349</v>
      </c>
      <c r="D207" s="3">
        <v>6.5</v>
      </c>
      <c r="E207" s="3">
        <v>18.379444802565644</v>
      </c>
      <c r="F207" s="3">
        <v>940</v>
      </c>
      <c r="G207" s="4">
        <v>16.87</v>
      </c>
      <c r="H207" s="7"/>
      <c r="I207" s="38">
        <f t="shared" si="41"/>
        <v>15.124043529032225</v>
      </c>
      <c r="J207" s="37">
        <f t="shared" si="42"/>
        <v>12.299999732540149</v>
      </c>
      <c r="K207" s="37">
        <f t="shared" si="43"/>
        <v>17.159534122181043</v>
      </c>
      <c r="L207" s="39">
        <f t="shared" si="44"/>
        <v>82.737004636250958</v>
      </c>
      <c r="M207" s="117"/>
      <c r="N207" s="38">
        <f t="shared" si="37"/>
        <v>2.326775927543419</v>
      </c>
      <c r="O207" s="37">
        <f t="shared" si="38"/>
        <v>1.892307651160023</v>
      </c>
      <c r="P207" s="37">
        <f t="shared" si="39"/>
        <v>2.6399283264893914</v>
      </c>
      <c r="Q207" s="39">
        <f t="shared" si="40"/>
        <v>12.728769944038609</v>
      </c>
    </row>
    <row r="208" spans="2:17" customFormat="1" x14ac:dyDescent="0.25">
      <c r="B208" s="41" t="s">
        <v>1070</v>
      </c>
      <c r="C208" s="3" t="s">
        <v>350</v>
      </c>
      <c r="D208" s="3">
        <v>14.5</v>
      </c>
      <c r="E208" s="3">
        <v>16.660472629076001</v>
      </c>
      <c r="F208" s="3">
        <v>400</v>
      </c>
      <c r="G208" s="4">
        <v>23.27</v>
      </c>
      <c r="H208" s="7"/>
      <c r="I208" s="38">
        <f t="shared" si="41"/>
        <v>23.745269691807021</v>
      </c>
      <c r="J208" s="37">
        <f t="shared" si="42"/>
        <v>21.000000263185896</v>
      </c>
      <c r="K208" s="37">
        <f t="shared" si="43"/>
        <v>15.48848082786691</v>
      </c>
      <c r="L208" s="39">
        <f t="shared" si="44"/>
        <v>129.7289381733442</v>
      </c>
      <c r="M208" s="117"/>
      <c r="N208" s="38">
        <f t="shared" si="37"/>
        <v>1.6376048063315187</v>
      </c>
      <c r="O208" s="37">
        <f t="shared" si="38"/>
        <v>1.4482758802197169</v>
      </c>
      <c r="P208" s="37">
        <f t="shared" si="39"/>
        <v>1.0681710915770284</v>
      </c>
      <c r="Q208" s="39">
        <f t="shared" si="40"/>
        <v>8.9468233222996005</v>
      </c>
    </row>
    <row r="209" spans="2:17" customFormat="1" x14ac:dyDescent="0.25">
      <c r="B209" s="41" t="s">
        <v>1070</v>
      </c>
      <c r="C209" s="3" t="s">
        <v>351</v>
      </c>
      <c r="D209" s="3">
        <v>14.5</v>
      </c>
      <c r="E209" s="3">
        <v>17.78703792113733</v>
      </c>
      <c r="F209" s="3">
        <v>370</v>
      </c>
      <c r="G209" s="4">
        <v>22.77</v>
      </c>
      <c r="H209" s="7"/>
      <c r="I209" s="38">
        <f t="shared" si="41"/>
        <v>25.400339496924779</v>
      </c>
      <c r="J209" s="37">
        <f t="shared" si="42"/>
        <v>22.420000280982279</v>
      </c>
      <c r="K209" s="37">
        <f t="shared" si="43"/>
        <v>16.345917558964882</v>
      </c>
      <c r="L209" s="39">
        <f t="shared" si="44"/>
        <v>150.28788457850203</v>
      </c>
      <c r="M209" s="117"/>
      <c r="N209" s="38">
        <f t="shared" si="37"/>
        <v>1.7517475515120537</v>
      </c>
      <c r="O209" s="37">
        <f t="shared" si="38"/>
        <v>1.5462069159298124</v>
      </c>
      <c r="P209" s="37">
        <f t="shared" si="39"/>
        <v>1.1273046592389573</v>
      </c>
      <c r="Q209" s="39">
        <f t="shared" si="40"/>
        <v>10.364681695069105</v>
      </c>
    </row>
    <row r="210" spans="2:17" customFormat="1" x14ac:dyDescent="0.25">
      <c r="B210" s="41" t="s">
        <v>1070</v>
      </c>
      <c r="C210" s="3" t="s">
        <v>352</v>
      </c>
      <c r="D210" s="3">
        <v>7.25</v>
      </c>
      <c r="E210" s="3">
        <v>15.791354317065766</v>
      </c>
      <c r="F210" s="3">
        <v>510</v>
      </c>
      <c r="G210" s="4">
        <v>15.85</v>
      </c>
      <c r="H210" s="7"/>
      <c r="I210" s="38">
        <f t="shared" si="41"/>
        <v>15.189459878867503</v>
      </c>
      <c r="J210" s="37">
        <f t="shared" si="42"/>
        <v>11.899999817719403</v>
      </c>
      <c r="K210" s="37">
        <f t="shared" si="43"/>
        <v>7.9981221616303273</v>
      </c>
      <c r="L210" s="39">
        <f t="shared" si="44"/>
        <v>36.765305529546147</v>
      </c>
      <c r="M210" s="117"/>
      <c r="N210" s="38">
        <f t="shared" si="37"/>
        <v>2.0950979143265522</v>
      </c>
      <c r="O210" s="37">
        <f t="shared" si="38"/>
        <v>1.6413792852026763</v>
      </c>
      <c r="P210" s="37">
        <f t="shared" si="39"/>
        <v>1.1031892636731486</v>
      </c>
      <c r="Q210" s="39">
        <f t="shared" si="40"/>
        <v>5.0710766247649861</v>
      </c>
    </row>
    <row r="211" spans="2:17" customFormat="1" x14ac:dyDescent="0.25">
      <c r="B211" s="41" t="s">
        <v>1070</v>
      </c>
      <c r="C211" s="3" t="s">
        <v>353</v>
      </c>
      <c r="D211" s="3">
        <v>7.25</v>
      </c>
      <c r="E211" s="3">
        <v>13.270045644593084</v>
      </c>
      <c r="F211" s="3">
        <v>530</v>
      </c>
      <c r="G211" s="4">
        <v>15.12</v>
      </c>
      <c r="H211" s="7"/>
      <c r="I211" s="38">
        <f t="shared" si="41"/>
        <v>13.151000981539694</v>
      </c>
      <c r="J211" s="37">
        <f t="shared" si="42"/>
        <v>9.9999998468230302</v>
      </c>
      <c r="K211" s="37">
        <f t="shared" si="43"/>
        <v>6.5639196285793373</v>
      </c>
      <c r="L211" s="39">
        <f t="shared" si="44"/>
        <v>24.598371169505292</v>
      </c>
      <c r="M211" s="117"/>
      <c r="N211" s="38">
        <f t="shared" si="37"/>
        <v>1.813931169867544</v>
      </c>
      <c r="O211" s="37">
        <f t="shared" si="38"/>
        <v>1.3793103236997284</v>
      </c>
      <c r="P211" s="37">
        <f t="shared" si="39"/>
        <v>0.90536822463163269</v>
      </c>
      <c r="Q211" s="39">
        <f t="shared" si="40"/>
        <v>3.39287878200073</v>
      </c>
    </row>
    <row r="212" spans="2:17" customFormat="1" x14ac:dyDescent="0.25">
      <c r="B212" s="41" t="s">
        <v>1070</v>
      </c>
      <c r="C212" s="3" t="s">
        <v>354</v>
      </c>
      <c r="D212" s="3">
        <v>7.25</v>
      </c>
      <c r="E212" s="3">
        <v>11.186648478391962</v>
      </c>
      <c r="F212" s="3">
        <v>640</v>
      </c>
      <c r="G212" s="4">
        <v>15.4</v>
      </c>
      <c r="H212" s="7"/>
      <c r="I212" s="38">
        <f t="shared" si="41"/>
        <v>11.520744726410236</v>
      </c>
      <c r="J212" s="37">
        <f t="shared" si="42"/>
        <v>8.4299998708718089</v>
      </c>
      <c r="K212" s="37">
        <f t="shared" si="43"/>
        <v>6.494972059852274</v>
      </c>
      <c r="L212" s="39">
        <f t="shared" si="44"/>
        <v>20.381915721426068</v>
      </c>
      <c r="M212" s="117"/>
      <c r="N212" s="38">
        <f t="shared" si="37"/>
        <v>1.5890682381255496</v>
      </c>
      <c r="O212" s="37">
        <f t="shared" si="38"/>
        <v>1.1627586028788701</v>
      </c>
      <c r="P212" s="37">
        <f t="shared" si="39"/>
        <v>0.89585821515203778</v>
      </c>
      <c r="Q212" s="39">
        <f t="shared" si="40"/>
        <v>2.811298720196699</v>
      </c>
    </row>
    <row r="213" spans="2:17" customFormat="1" x14ac:dyDescent="0.25">
      <c r="B213" s="41" t="s">
        <v>1070</v>
      </c>
      <c r="C213" s="3" t="s">
        <v>355</v>
      </c>
      <c r="D213" s="3">
        <v>7.25</v>
      </c>
      <c r="E213" s="3">
        <v>16.521206827518377</v>
      </c>
      <c r="F213" s="3">
        <v>440</v>
      </c>
      <c r="G213" s="4">
        <v>16.809999999999999</v>
      </c>
      <c r="H213" s="7"/>
      <c r="I213" s="38">
        <f t="shared" si="41"/>
        <v>15.981534064377504</v>
      </c>
      <c r="J213" s="37">
        <f t="shared" si="42"/>
        <v>12.449999809294663</v>
      </c>
      <c r="K213" s="37">
        <f t="shared" si="43"/>
        <v>7.6254569036433528</v>
      </c>
      <c r="L213" s="39">
        <f t="shared" si="44"/>
        <v>37.410007712898945</v>
      </c>
      <c r="M213" s="117"/>
      <c r="N213" s="38">
        <f t="shared" si="37"/>
        <v>2.2043495261210349</v>
      </c>
      <c r="O213" s="37">
        <f t="shared" si="38"/>
        <v>1.7172413530061605</v>
      </c>
      <c r="P213" s="37">
        <f t="shared" si="39"/>
        <v>1.0517871591232211</v>
      </c>
      <c r="Q213" s="39">
        <f t="shared" si="40"/>
        <v>5.1600010638481306</v>
      </c>
    </row>
    <row r="214" spans="2:17" customFormat="1" x14ac:dyDescent="0.25">
      <c r="B214" s="41" t="s">
        <v>1070</v>
      </c>
      <c r="C214" s="3" t="s">
        <v>356</v>
      </c>
      <c r="D214" s="3">
        <v>6</v>
      </c>
      <c r="E214" s="3">
        <v>12.200046504675679</v>
      </c>
      <c r="F214" s="3">
        <v>960</v>
      </c>
      <c r="G214" s="4">
        <v>9.7100000000000009</v>
      </c>
      <c r="H214" s="7"/>
      <c r="I214" s="38">
        <f t="shared" si="41"/>
        <v>9.9356258872278662</v>
      </c>
      <c r="J214" s="37">
        <f t="shared" si="42"/>
        <v>7.4199998002386556</v>
      </c>
      <c r="K214" s="37">
        <f t="shared" si="43"/>
        <v>8.7520528223065579</v>
      </c>
      <c r="L214" s="39">
        <f t="shared" si="44"/>
        <v>23.285448732638049</v>
      </c>
      <c r="M214" s="117"/>
      <c r="N214" s="38">
        <f t="shared" si="37"/>
        <v>1.655937647871311</v>
      </c>
      <c r="O214" s="37">
        <f t="shared" si="38"/>
        <v>1.2366666333731093</v>
      </c>
      <c r="P214" s="37">
        <f t="shared" si="39"/>
        <v>1.4586754703844262</v>
      </c>
      <c r="Q214" s="39">
        <f t="shared" si="40"/>
        <v>3.8809081221063413</v>
      </c>
    </row>
    <row r="215" spans="2:17" customFormat="1" x14ac:dyDescent="0.25">
      <c r="B215" s="41" t="s">
        <v>1070</v>
      </c>
      <c r="C215" s="3" t="s">
        <v>357</v>
      </c>
      <c r="D215" s="3">
        <v>6</v>
      </c>
      <c r="E215" s="3">
        <v>12.002741170368258</v>
      </c>
      <c r="F215" s="3">
        <v>770</v>
      </c>
      <c r="G215" s="4">
        <v>8.7899999999999991</v>
      </c>
      <c r="H215" s="7"/>
      <c r="I215" s="38">
        <f t="shared" si="41"/>
        <v>10.095121112412636</v>
      </c>
      <c r="J215" s="37">
        <f t="shared" si="42"/>
        <v>7.2999998034692997</v>
      </c>
      <c r="K215" s="37">
        <f t="shared" si="43"/>
        <v>6.3016166688187836</v>
      </c>
      <c r="L215" s="39">
        <f t="shared" si="44"/>
        <v>16.796627002981158</v>
      </c>
      <c r="M215" s="117"/>
      <c r="N215" s="38">
        <f t="shared" si="37"/>
        <v>1.6825201854021061</v>
      </c>
      <c r="O215" s="37">
        <f t="shared" si="38"/>
        <v>1.2166666339115499</v>
      </c>
      <c r="P215" s="37">
        <f t="shared" si="39"/>
        <v>1.0502694448031307</v>
      </c>
      <c r="Q215" s="39">
        <f t="shared" si="40"/>
        <v>2.7994378338301931</v>
      </c>
    </row>
    <row r="216" spans="2:17" customFormat="1" x14ac:dyDescent="0.25">
      <c r="B216" s="41" t="s">
        <v>1070</v>
      </c>
      <c r="C216" s="3" t="s">
        <v>358</v>
      </c>
      <c r="D216" s="3">
        <v>6</v>
      </c>
      <c r="E216" s="3">
        <v>14.781457961864472</v>
      </c>
      <c r="F216" s="3">
        <v>870</v>
      </c>
      <c r="G216" s="4">
        <v>9.77</v>
      </c>
      <c r="H216" s="7"/>
      <c r="I216" s="38">
        <f t="shared" si="41"/>
        <v>11.62942115236222</v>
      </c>
      <c r="J216" s="37">
        <f t="shared" si="42"/>
        <v>8.9899997579710984</v>
      </c>
      <c r="K216" s="37">
        <f t="shared" si="43"/>
        <v>9.5641045870427135</v>
      </c>
      <c r="L216" s="39">
        <f t="shared" si="44"/>
        <v>31.568114450363293</v>
      </c>
      <c r="M216" s="117"/>
      <c r="N216" s="38">
        <f t="shared" si="37"/>
        <v>1.9382368587270367</v>
      </c>
      <c r="O216" s="37">
        <f t="shared" si="38"/>
        <v>1.4983332929951831</v>
      </c>
      <c r="P216" s="37">
        <f t="shared" si="39"/>
        <v>1.5940174311737856</v>
      </c>
      <c r="Q216" s="39">
        <f t="shared" si="40"/>
        <v>5.2613524083938819</v>
      </c>
    </row>
    <row r="217" spans="2:17" customFormat="1" x14ac:dyDescent="0.25">
      <c r="B217" s="41" t="s">
        <v>1070</v>
      </c>
      <c r="C217" s="3" t="s">
        <v>359</v>
      </c>
      <c r="D217" s="3">
        <v>10</v>
      </c>
      <c r="E217" s="3">
        <v>13.82</v>
      </c>
      <c r="F217" s="3">
        <v>320</v>
      </c>
      <c r="G217" s="4">
        <v>20.87</v>
      </c>
      <c r="H217" s="7"/>
      <c r="I217" s="38">
        <f t="shared" si="41"/>
        <v>17.244398394719052</v>
      </c>
      <c r="J217" s="37">
        <f t="shared" si="42"/>
        <v>13.82</v>
      </c>
      <c r="K217" s="37">
        <f t="shared" si="43"/>
        <v>7.4436797750895387</v>
      </c>
      <c r="L217" s="39">
        <f t="shared" si="44"/>
        <v>39.57262138575291</v>
      </c>
      <c r="M217" s="117"/>
      <c r="N217" s="38">
        <f t="shared" si="37"/>
        <v>1.7244398394719052</v>
      </c>
      <c r="O217" s="37">
        <f t="shared" si="38"/>
        <v>1.3820000000000001</v>
      </c>
      <c r="P217" s="37">
        <f t="shared" si="39"/>
        <v>0.74436797750895389</v>
      </c>
      <c r="Q217" s="39">
        <f t="shared" si="40"/>
        <v>3.9572621385752909</v>
      </c>
    </row>
    <row r="218" spans="2:17" customFormat="1" x14ac:dyDescent="0.25">
      <c r="B218" s="41" t="s">
        <v>1070</v>
      </c>
      <c r="C218" s="3" t="s">
        <v>360</v>
      </c>
      <c r="D218" s="3">
        <v>5</v>
      </c>
      <c r="E218" s="3">
        <v>9.4874365636704781</v>
      </c>
      <c r="F218" s="3">
        <v>840</v>
      </c>
      <c r="G218" s="4">
        <v>7.12</v>
      </c>
      <c r="H218" s="7"/>
      <c r="I218" s="38">
        <f t="shared" si="41"/>
        <v>7.2161812178927685</v>
      </c>
      <c r="J218" s="37">
        <f t="shared" si="42"/>
        <v>4.4999998182764083</v>
      </c>
      <c r="K218" s="37">
        <f t="shared" si="43"/>
        <v>3.8864702041612569</v>
      </c>
      <c r="L218" s="39">
        <f t="shared" si="44"/>
        <v>6.5411554611091285</v>
      </c>
      <c r="M218" s="117"/>
      <c r="N218" s="38">
        <f t="shared" si="37"/>
        <v>1.4432362435785537</v>
      </c>
      <c r="O218" s="37">
        <f t="shared" si="38"/>
        <v>0.89999996365528168</v>
      </c>
      <c r="P218" s="37">
        <f t="shared" si="39"/>
        <v>0.7772940408322514</v>
      </c>
      <c r="Q218" s="39">
        <f t="shared" si="40"/>
        <v>1.3082310922218257</v>
      </c>
    </row>
    <row r="219" spans="2:17" customFormat="1" x14ac:dyDescent="0.25">
      <c r="B219" s="41" t="s">
        <v>1070</v>
      </c>
      <c r="C219" s="3" t="s">
        <v>361</v>
      </c>
      <c r="D219" s="3">
        <v>5</v>
      </c>
      <c r="E219" s="3">
        <v>9.2766046400333533</v>
      </c>
      <c r="F219" s="3">
        <v>880</v>
      </c>
      <c r="G219" s="4">
        <v>6.08</v>
      </c>
      <c r="H219" s="7"/>
      <c r="I219" s="38">
        <f t="shared" si="41"/>
        <v>7.0910498530956909</v>
      </c>
      <c r="J219" s="37">
        <f t="shared" si="42"/>
        <v>4.3999998223147081</v>
      </c>
      <c r="K219" s="37">
        <f t="shared" si="43"/>
        <v>4.0698402351668932</v>
      </c>
      <c r="L219" s="39">
        <f t="shared" si="44"/>
        <v>6.7098185259126275</v>
      </c>
      <c r="M219" s="117"/>
      <c r="N219" s="38">
        <f t="shared" si="37"/>
        <v>1.4182099706191382</v>
      </c>
      <c r="O219" s="37">
        <f t="shared" si="38"/>
        <v>0.8799999644629416</v>
      </c>
      <c r="P219" s="37">
        <f t="shared" si="39"/>
        <v>0.81396804703337866</v>
      </c>
      <c r="Q219" s="39">
        <f t="shared" si="40"/>
        <v>1.3419637051825255</v>
      </c>
    </row>
    <row r="220" spans="2:17" customFormat="1" x14ac:dyDescent="0.25">
      <c r="B220" s="41" t="s">
        <v>1070</v>
      </c>
      <c r="C220" s="3" t="s">
        <v>362</v>
      </c>
      <c r="D220" s="3">
        <v>5</v>
      </c>
      <c r="E220" s="3">
        <v>12.228251570953059</v>
      </c>
      <c r="F220" s="3">
        <v>1100</v>
      </c>
      <c r="G220" s="4">
        <v>10.99</v>
      </c>
      <c r="H220" s="7"/>
      <c r="I220" s="38">
        <f t="shared" si="41"/>
        <v>8.108949100412234</v>
      </c>
      <c r="J220" s="37">
        <f t="shared" si="42"/>
        <v>5.7999997657784803</v>
      </c>
      <c r="K220" s="37">
        <f t="shared" si="43"/>
        <v>7.6345967915756043</v>
      </c>
      <c r="L220" s="39">
        <f t="shared" si="44"/>
        <v>15.629166144796505</v>
      </c>
      <c r="M220" s="117"/>
      <c r="N220" s="38">
        <f t="shared" si="37"/>
        <v>1.6217898200824468</v>
      </c>
      <c r="O220" s="37">
        <f t="shared" si="38"/>
        <v>1.1599999531556962</v>
      </c>
      <c r="P220" s="37">
        <f t="shared" si="39"/>
        <v>1.5269193583151208</v>
      </c>
      <c r="Q220" s="39">
        <f t="shared" si="40"/>
        <v>3.1258332289593009</v>
      </c>
    </row>
    <row r="221" spans="2:17" customFormat="1" x14ac:dyDescent="0.25">
      <c r="B221" s="41" t="s">
        <v>1070</v>
      </c>
      <c r="C221" s="3" t="s">
        <v>363</v>
      </c>
      <c r="D221" s="3">
        <v>5</v>
      </c>
      <c r="E221" s="3">
        <v>12.017419647315936</v>
      </c>
      <c r="F221" s="3">
        <v>740</v>
      </c>
      <c r="G221" s="4">
        <v>9.69</v>
      </c>
      <c r="H221" s="7"/>
      <c r="I221" s="38">
        <f t="shared" si="41"/>
        <v>8.4340390720752421</v>
      </c>
      <c r="J221" s="37">
        <f t="shared" si="42"/>
        <v>5.6999997698167819</v>
      </c>
      <c r="K221" s="37">
        <f t="shared" si="43"/>
        <v>4.1586584238982356</v>
      </c>
      <c r="L221" s="39">
        <f t="shared" si="44"/>
        <v>8.6555165816989277</v>
      </c>
      <c r="M221" s="117"/>
      <c r="N221" s="38">
        <f t="shared" si="37"/>
        <v>1.6868078144150485</v>
      </c>
      <c r="O221" s="37">
        <f t="shared" si="38"/>
        <v>1.1399999539633563</v>
      </c>
      <c r="P221" s="37">
        <f t="shared" si="39"/>
        <v>0.8317316847796471</v>
      </c>
      <c r="Q221" s="39">
        <f t="shared" si="40"/>
        <v>1.7311033163397855</v>
      </c>
    </row>
    <row r="222" spans="2:17" customFormat="1" x14ac:dyDescent="0.25">
      <c r="B222" s="41" t="s">
        <v>1070</v>
      </c>
      <c r="C222" s="3" t="s">
        <v>364</v>
      </c>
      <c r="D222" s="3">
        <v>11.25</v>
      </c>
      <c r="E222" s="3">
        <v>16.384269093665683</v>
      </c>
      <c r="F222" s="3">
        <v>160</v>
      </c>
      <c r="G222" s="4">
        <v>27.52</v>
      </c>
      <c r="H222" s="7"/>
      <c r="I222" s="38">
        <f t="shared" si="41"/>
        <v>21.660663010385303</v>
      </c>
      <c r="J222" s="37">
        <f t="shared" si="42"/>
        <v>17.800000079868642</v>
      </c>
      <c r="K222" s="37">
        <f t="shared" si="43"/>
        <v>8.1890101880032855</v>
      </c>
      <c r="L222" s="39">
        <f t="shared" si="44"/>
        <v>59.03130891498045</v>
      </c>
      <c r="M222" s="117"/>
      <c r="N222" s="38">
        <f t="shared" si="37"/>
        <v>1.9253922675898048</v>
      </c>
      <c r="O222" s="37">
        <f t="shared" si="38"/>
        <v>1.582222229321657</v>
      </c>
      <c r="P222" s="37">
        <f t="shared" si="39"/>
        <v>0.72791201671140315</v>
      </c>
      <c r="Q222" s="39">
        <f t="shared" si="40"/>
        <v>5.2472274591093733</v>
      </c>
    </row>
    <row r="223" spans="2:17" customFormat="1" x14ac:dyDescent="0.25">
      <c r="B223" s="41" t="s">
        <v>1070</v>
      </c>
      <c r="C223" s="3" t="s">
        <v>365</v>
      </c>
      <c r="D223" s="3">
        <v>11.25</v>
      </c>
      <c r="E223" s="3">
        <v>16.568362004830462</v>
      </c>
      <c r="F223" s="3">
        <v>180</v>
      </c>
      <c r="G223" s="4">
        <v>25.89</v>
      </c>
      <c r="H223" s="7"/>
      <c r="I223" s="38">
        <f t="shared" si="41"/>
        <v>21.823169109962876</v>
      </c>
      <c r="J223" s="37">
        <f t="shared" si="42"/>
        <v>18.000000080766039</v>
      </c>
      <c r="K223" s="37">
        <f t="shared" si="43"/>
        <v>8.6045253211146449</v>
      </c>
      <c r="L223" s="39">
        <f t="shared" si="44"/>
        <v>62.83304112516106</v>
      </c>
      <c r="M223" s="117"/>
      <c r="N223" s="38">
        <f t="shared" si="37"/>
        <v>1.9398372542189224</v>
      </c>
      <c r="O223" s="37">
        <f t="shared" si="38"/>
        <v>1.6000000071792035</v>
      </c>
      <c r="P223" s="37">
        <f t="shared" si="39"/>
        <v>0.76484669521019066</v>
      </c>
      <c r="Q223" s="39">
        <f t="shared" si="40"/>
        <v>5.5851592111254273</v>
      </c>
    </row>
    <row r="224" spans="2:17" customFormat="1" x14ac:dyDescent="0.25">
      <c r="B224" s="41" t="s">
        <v>1070</v>
      </c>
      <c r="C224" s="3" t="s">
        <v>366</v>
      </c>
      <c r="D224" s="3">
        <v>10</v>
      </c>
      <c r="E224" s="3">
        <v>15.799999999999997</v>
      </c>
      <c r="F224" s="3">
        <v>260</v>
      </c>
      <c r="G224" s="4">
        <v>20.010000000000002</v>
      </c>
      <c r="H224" s="7"/>
      <c r="I224" s="38">
        <f t="shared" si="41"/>
        <v>19.432419897024722</v>
      </c>
      <c r="J224" s="37">
        <f t="shared" si="42"/>
        <v>15.799999999999997</v>
      </c>
      <c r="K224" s="37">
        <f t="shared" si="43"/>
        <v>8.0863746232044189</v>
      </c>
      <c r="L224" s="39">
        <f t="shared" si="44"/>
        <v>50.677154121551595</v>
      </c>
      <c r="M224" s="117"/>
      <c r="N224" s="38">
        <f t="shared" si="37"/>
        <v>1.9432419897024722</v>
      </c>
      <c r="O224" s="37">
        <f t="shared" si="38"/>
        <v>1.5799999999999996</v>
      </c>
      <c r="P224" s="37">
        <f t="shared" si="39"/>
        <v>0.80863746232044187</v>
      </c>
      <c r="Q224" s="39">
        <f t="shared" si="40"/>
        <v>5.0677154121551595</v>
      </c>
    </row>
    <row r="225" spans="2:17" customFormat="1" x14ac:dyDescent="0.25">
      <c r="B225" s="41" t="s">
        <v>1070</v>
      </c>
      <c r="C225" s="3" t="s">
        <v>367</v>
      </c>
      <c r="D225" s="3">
        <v>11.25</v>
      </c>
      <c r="E225" s="3">
        <v>16.200176182500901</v>
      </c>
      <c r="F225" s="3">
        <v>172</v>
      </c>
      <c r="G225" s="4">
        <v>28.49</v>
      </c>
      <c r="H225" s="7"/>
      <c r="I225" s="38">
        <f t="shared" si="41"/>
        <v>21.401895510780871</v>
      </c>
      <c r="J225" s="37">
        <f t="shared" si="42"/>
        <v>17.600000078971245</v>
      </c>
      <c r="K225" s="37">
        <f t="shared" si="43"/>
        <v>8.2119121701753279</v>
      </c>
      <c r="L225" s="39">
        <f t="shared" si="44"/>
        <v>58.262977526257536</v>
      </c>
      <c r="M225" s="117"/>
      <c r="N225" s="38">
        <f t="shared" si="37"/>
        <v>1.9023907120694108</v>
      </c>
      <c r="O225" s="37">
        <f t="shared" si="38"/>
        <v>1.5644444514641107</v>
      </c>
      <c r="P225" s="37">
        <f t="shared" si="39"/>
        <v>0.72994774846002919</v>
      </c>
      <c r="Q225" s="39">
        <f t="shared" si="40"/>
        <v>5.178931335667337</v>
      </c>
    </row>
    <row r="226" spans="2:17" customFormat="1" x14ac:dyDescent="0.25">
      <c r="B226" s="41" t="s">
        <v>1070</v>
      </c>
      <c r="C226" s="3" t="s">
        <v>368</v>
      </c>
      <c r="D226" s="3">
        <v>13.166666666666666</v>
      </c>
      <c r="E226" s="3">
        <v>17.885662269656816</v>
      </c>
      <c r="F226" s="3">
        <v>200</v>
      </c>
      <c r="G226" s="4">
        <v>30.06</v>
      </c>
      <c r="H226" s="7"/>
      <c r="I226" s="38">
        <f t="shared" si="41"/>
        <v>25.171124086481544</v>
      </c>
      <c r="J226" s="37">
        <f t="shared" si="42"/>
        <v>21.400000207844766</v>
      </c>
      <c r="K226" s="37">
        <f t="shared" si="43"/>
        <v>11.566565560965042</v>
      </c>
      <c r="L226" s="39">
        <f t="shared" si="44"/>
        <v>103.31281102503405</v>
      </c>
      <c r="M226" s="117"/>
      <c r="N226" s="38">
        <f t="shared" si="37"/>
        <v>1.9117309432770795</v>
      </c>
      <c r="O226" s="37">
        <f t="shared" si="38"/>
        <v>1.6253164714818811</v>
      </c>
      <c r="P226" s="37">
        <f t="shared" si="39"/>
        <v>0.87847333374418046</v>
      </c>
      <c r="Q226" s="39">
        <f t="shared" si="40"/>
        <v>7.8465426094962574</v>
      </c>
    </row>
    <row r="227" spans="2:17" customFormat="1" x14ac:dyDescent="0.25">
      <c r="B227" s="41" t="s">
        <v>1070</v>
      </c>
      <c r="C227" s="3" t="s">
        <v>369</v>
      </c>
      <c r="D227" s="3">
        <v>13.166666666666666</v>
      </c>
      <c r="E227" s="3">
        <v>17.885662269656816</v>
      </c>
      <c r="F227" s="3">
        <v>280</v>
      </c>
      <c r="G227" s="4">
        <v>26.36</v>
      </c>
      <c r="H227" s="7"/>
      <c r="I227" s="38">
        <f t="shared" si="41"/>
        <v>24.886798145874266</v>
      </c>
      <c r="J227" s="37">
        <f t="shared" si="42"/>
        <v>21.400000207844766</v>
      </c>
      <c r="K227" s="37">
        <f t="shared" si="43"/>
        <v>13.181820653374452</v>
      </c>
      <c r="L227" s="39">
        <f t="shared" si="44"/>
        <v>116.8675668104288</v>
      </c>
      <c r="M227" s="117"/>
      <c r="N227" s="38">
        <f t="shared" si="37"/>
        <v>1.8901365680410835</v>
      </c>
      <c r="O227" s="37">
        <f t="shared" si="38"/>
        <v>1.6253164714818811</v>
      </c>
      <c r="P227" s="37">
        <f t="shared" si="39"/>
        <v>1.0011509356993256</v>
      </c>
      <c r="Q227" s="39">
        <f t="shared" si="40"/>
        <v>8.8760177324376315</v>
      </c>
    </row>
    <row r="228" spans="2:17" customFormat="1" x14ac:dyDescent="0.25">
      <c r="B228" s="41" t="s">
        <v>1070</v>
      </c>
      <c r="C228" s="3" t="s">
        <v>370</v>
      </c>
      <c r="D228" s="3">
        <v>11.25</v>
      </c>
      <c r="E228" s="3">
        <v>15.18766517109459</v>
      </c>
      <c r="F228" s="3">
        <v>240</v>
      </c>
      <c r="G228" s="4">
        <v>22</v>
      </c>
      <c r="H228" s="7"/>
      <c r="I228" s="38">
        <f t="shared" si="41"/>
        <v>20.027263623244778</v>
      </c>
      <c r="J228" s="37">
        <f t="shared" si="42"/>
        <v>16.500000074035537</v>
      </c>
      <c r="K228" s="37">
        <f t="shared" si="43"/>
        <v>8.3663192734337031</v>
      </c>
      <c r="L228" s="39">
        <f t="shared" si="44"/>
        <v>54.379801043264905</v>
      </c>
      <c r="M228" s="117"/>
      <c r="N228" s="38">
        <f t="shared" si="37"/>
        <v>1.7802012109550913</v>
      </c>
      <c r="O228" s="37">
        <f t="shared" si="38"/>
        <v>1.4666666732476032</v>
      </c>
      <c r="P228" s="37">
        <f t="shared" si="39"/>
        <v>0.74367282430521808</v>
      </c>
      <c r="Q228" s="39">
        <f t="shared" si="40"/>
        <v>4.833760092734658</v>
      </c>
    </row>
    <row r="229" spans="2:17" customFormat="1" x14ac:dyDescent="0.25">
      <c r="B229" s="41" t="s">
        <v>1070</v>
      </c>
      <c r="C229" s="3" t="s">
        <v>371</v>
      </c>
      <c r="D229" s="3">
        <v>13.166666666666666</v>
      </c>
      <c r="E229" s="3">
        <v>17.233754953286148</v>
      </c>
      <c r="F229" s="3">
        <v>240</v>
      </c>
      <c r="G229" s="4">
        <v>28.7</v>
      </c>
      <c r="H229" s="7"/>
      <c r="I229" s="38">
        <f t="shared" si="41"/>
        <v>24.130881368309492</v>
      </c>
      <c r="J229" s="37">
        <f t="shared" si="42"/>
        <v>20.620000200269114</v>
      </c>
      <c r="K229" s="37">
        <f t="shared" si="43"/>
        <v>11.634010999328336</v>
      </c>
      <c r="L229" s="39">
        <f t="shared" si="44"/>
        <v>98.250890272340584</v>
      </c>
      <c r="M229" s="117"/>
      <c r="N229" s="38">
        <f t="shared" si="37"/>
        <v>1.8327251672133793</v>
      </c>
      <c r="O229" s="37">
        <f t="shared" si="38"/>
        <v>1.5660759645774012</v>
      </c>
      <c r="P229" s="37">
        <f t="shared" si="39"/>
        <v>0.88359577210088625</v>
      </c>
      <c r="Q229" s="39">
        <f t="shared" si="40"/>
        <v>7.4620929320765006</v>
      </c>
    </row>
    <row r="230" spans="2:17" customFormat="1" x14ac:dyDescent="0.25">
      <c r="B230" s="41" t="s">
        <v>1070</v>
      </c>
      <c r="C230" s="3" t="s">
        <v>372</v>
      </c>
      <c r="D230" s="3">
        <v>11.25</v>
      </c>
      <c r="E230" s="3">
        <v>16.844501371577643</v>
      </c>
      <c r="F230" s="3">
        <v>320</v>
      </c>
      <c r="G230" s="4">
        <v>24.41</v>
      </c>
      <c r="H230" s="7"/>
      <c r="I230" s="38">
        <f t="shared" si="41"/>
        <v>21.72717421464737</v>
      </c>
      <c r="J230" s="37">
        <f t="shared" si="42"/>
        <v>18.300000082112145</v>
      </c>
      <c r="K230" s="37">
        <f t="shared" si="43"/>
        <v>11.092521149218673</v>
      </c>
      <c r="L230" s="39">
        <f t="shared" si="44"/>
        <v>81.745496952102386</v>
      </c>
      <c r="M230" s="117"/>
      <c r="N230" s="38">
        <f t="shared" si="37"/>
        <v>1.9313043746353218</v>
      </c>
      <c r="O230" s="37">
        <f t="shared" si="38"/>
        <v>1.626666673965524</v>
      </c>
      <c r="P230" s="37">
        <f t="shared" si="39"/>
        <v>0.98600187993054866</v>
      </c>
      <c r="Q230" s="39">
        <f t="shared" si="40"/>
        <v>7.2662663957424343</v>
      </c>
    </row>
    <row r="231" spans="2:17" customFormat="1" x14ac:dyDescent="0.25">
      <c r="B231" s="41" t="s">
        <v>1070</v>
      </c>
      <c r="C231" s="3" t="s">
        <v>373</v>
      </c>
      <c r="D231" s="3">
        <v>9.3333333333333339</v>
      </c>
      <c r="E231" s="3">
        <v>16.5380526645522</v>
      </c>
      <c r="F231" s="3">
        <v>550</v>
      </c>
      <c r="G231" s="4">
        <v>18.350000000000001</v>
      </c>
      <c r="H231" s="7"/>
      <c r="I231" s="38">
        <f t="shared" si="41"/>
        <v>18.680903528676861</v>
      </c>
      <c r="J231" s="37">
        <f t="shared" si="42"/>
        <v>15.679999954771015</v>
      </c>
      <c r="K231" s="37">
        <f t="shared" si="43"/>
        <v>12.840598066638595</v>
      </c>
      <c r="L231" s="39">
        <f t="shared" si="44"/>
        <v>78.753705975007847</v>
      </c>
      <c r="M231" s="117"/>
      <c r="N231" s="38">
        <f t="shared" si="37"/>
        <v>2.0015253780725208</v>
      </c>
      <c r="O231" s="37">
        <f t="shared" si="38"/>
        <v>1.6799999951540372</v>
      </c>
      <c r="P231" s="37">
        <f t="shared" si="39"/>
        <v>1.3757783642827066</v>
      </c>
      <c r="Q231" s="39">
        <f t="shared" si="40"/>
        <v>8.437897068750841</v>
      </c>
    </row>
    <row r="232" spans="2:17" customFormat="1" x14ac:dyDescent="0.25">
      <c r="B232" s="41" t="s">
        <v>1070</v>
      </c>
      <c r="C232" s="3" t="s">
        <v>374</v>
      </c>
      <c r="D232" s="3">
        <v>9.3333333333333339</v>
      </c>
      <c r="E232" s="3">
        <v>17.592775411015989</v>
      </c>
      <c r="F232" s="3">
        <v>410</v>
      </c>
      <c r="G232" s="4">
        <v>18.09</v>
      </c>
      <c r="H232" s="7"/>
      <c r="I232" s="38">
        <f t="shared" si="41"/>
        <v>20.216029037409861</v>
      </c>
      <c r="J232" s="37">
        <f t="shared" si="42"/>
        <v>16.679999951886511</v>
      </c>
      <c r="K232" s="37">
        <f t="shared" si="43"/>
        <v>11.24801092060031</v>
      </c>
      <c r="L232" s="39">
        <f t="shared" si="44"/>
        <v>76.065254271864418</v>
      </c>
      <c r="M232" s="117"/>
      <c r="N232" s="38">
        <f t="shared" si="37"/>
        <v>2.1660031111510563</v>
      </c>
      <c r="O232" s="37">
        <f t="shared" si="38"/>
        <v>1.7871428519878403</v>
      </c>
      <c r="P232" s="37">
        <f t="shared" si="39"/>
        <v>1.2051440272071761</v>
      </c>
      <c r="Q232" s="39">
        <f t="shared" si="40"/>
        <v>8.1498486719854721</v>
      </c>
    </row>
    <row r="233" spans="2:17" customFormat="1" x14ac:dyDescent="0.25">
      <c r="B233" s="41" t="s">
        <v>1070</v>
      </c>
      <c r="C233" s="3" t="s">
        <v>375</v>
      </c>
      <c r="D233" s="3">
        <v>9.3333333333333339</v>
      </c>
      <c r="E233" s="3">
        <v>18.193967376500353</v>
      </c>
      <c r="F233" s="3">
        <v>540</v>
      </c>
      <c r="G233" s="4">
        <v>20.41</v>
      </c>
      <c r="H233" s="7"/>
      <c r="I233" s="38">
        <f t="shared" si="41"/>
        <v>20.526143983443351</v>
      </c>
      <c r="J233" s="37">
        <f t="shared" si="42"/>
        <v>17.249999950242351</v>
      </c>
      <c r="K233" s="37">
        <f t="shared" si="43"/>
        <v>14.69525689154912</v>
      </c>
      <c r="L233" s="39">
        <f t="shared" si="44"/>
        <v>103.03772052626506</v>
      </c>
      <c r="M233" s="117"/>
      <c r="N233" s="38">
        <f t="shared" si="37"/>
        <v>2.1992297125117877</v>
      </c>
      <c r="O233" s="37">
        <f t="shared" si="38"/>
        <v>1.848214280383109</v>
      </c>
      <c r="P233" s="37">
        <f t="shared" si="39"/>
        <v>1.5744918098088341</v>
      </c>
      <c r="Q233" s="39">
        <f t="shared" si="40"/>
        <v>11.039755770671256</v>
      </c>
    </row>
    <row r="234" spans="2:17" customFormat="1" x14ac:dyDescent="0.25">
      <c r="B234" s="41" t="s">
        <v>1070</v>
      </c>
      <c r="C234" s="3" t="s">
        <v>376</v>
      </c>
      <c r="D234" s="3">
        <v>5.833333333333333</v>
      </c>
      <c r="E234" s="3">
        <v>13.492993276109551</v>
      </c>
      <c r="F234" s="3">
        <v>530</v>
      </c>
      <c r="G234" s="4">
        <v>9.0500000000000007</v>
      </c>
      <c r="H234" s="7"/>
      <c r="I234" s="38">
        <f t="shared" ref="I234:I239" si="45">EXP(2.673197 -5.545766/D234+ 0.056028*E234-0.000142*F234)</f>
        <v>11.05872472637561</v>
      </c>
      <c r="J234" s="37">
        <f t="shared" ref="J234:J239" si="46">EXP(LN(E234) -7.458911 * (1/D234- 0.1))</f>
        <v>7.9199997715474835</v>
      </c>
      <c r="K234" s="37">
        <f t="shared" ref="K234:K239" si="47">EXP(1.325956 -11.038033/D234+ 0.091341*E234+ 0.001634*F234)</f>
        <v>4.6283723881664089</v>
      </c>
      <c r="L234" s="39">
        <f t="shared" ref="L234:L239" si="48">EXP(2.671109 -18.578108/D234+ 0.171615*E234+ 0.001541*F234)</f>
        <v>13.716788585589818</v>
      </c>
      <c r="M234" s="117"/>
      <c r="N234" s="38">
        <f t="shared" si="37"/>
        <v>1.8957813816643905</v>
      </c>
      <c r="O234" s="37">
        <f t="shared" si="38"/>
        <v>1.3577142465509973</v>
      </c>
      <c r="P234" s="37">
        <f t="shared" si="39"/>
        <v>0.79343526654281304</v>
      </c>
      <c r="Q234" s="39">
        <f t="shared" si="40"/>
        <v>2.3514494718153975</v>
      </c>
    </row>
    <row r="235" spans="2:17" customFormat="1" x14ac:dyDescent="0.25">
      <c r="B235" s="41" t="s">
        <v>1070</v>
      </c>
      <c r="C235" s="3" t="s">
        <v>377</v>
      </c>
      <c r="D235" s="3">
        <v>5.083333333333333</v>
      </c>
      <c r="E235" s="3">
        <v>15.060056032955375</v>
      </c>
      <c r="F235" s="3">
        <v>900</v>
      </c>
      <c r="G235" s="4">
        <v>9.0500000000000007</v>
      </c>
      <c r="H235" s="7"/>
      <c r="I235" s="38">
        <f t="shared" si="45"/>
        <v>9.956359161744464</v>
      </c>
      <c r="J235" s="37">
        <f t="shared" si="46"/>
        <v>7.3199997140882145</v>
      </c>
      <c r="K235" s="37">
        <f t="shared" si="47"/>
        <v>7.3945278744531855</v>
      </c>
      <c r="L235" s="39">
        <f t="shared" si="48"/>
        <v>19.842592141262418</v>
      </c>
      <c r="M235" s="117"/>
      <c r="N235" s="38">
        <f t="shared" si="37"/>
        <v>1.9586280318185831</v>
      </c>
      <c r="O235" s="37">
        <f t="shared" si="38"/>
        <v>1.4399999437550586</v>
      </c>
      <c r="P235" s="37">
        <f t="shared" si="39"/>
        <v>1.4546612212039054</v>
      </c>
      <c r="Q235" s="39">
        <f t="shared" si="40"/>
        <v>3.903460749100804</v>
      </c>
    </row>
    <row r="236" spans="2:17" customFormat="1" x14ac:dyDescent="0.25">
      <c r="B236" s="41" t="s">
        <v>1070</v>
      </c>
      <c r="C236" s="3" t="s">
        <v>378</v>
      </c>
      <c r="D236" s="3">
        <v>5.083333333333333</v>
      </c>
      <c r="E236" s="3">
        <v>14.895465256638921</v>
      </c>
      <c r="F236" s="3">
        <v>720</v>
      </c>
      <c r="G236" s="4">
        <v>8.82</v>
      </c>
      <c r="H236" s="7"/>
      <c r="I236" s="38">
        <f t="shared" si="45"/>
        <v>10.120365367780526</v>
      </c>
      <c r="J236" s="37">
        <f t="shared" si="46"/>
        <v>7.2399997172129327</v>
      </c>
      <c r="K236" s="37">
        <f t="shared" si="47"/>
        <v>5.4280847977749582</v>
      </c>
      <c r="L236" s="39">
        <f t="shared" si="48"/>
        <v>14.617281593650199</v>
      </c>
      <c r="M236" s="117"/>
      <c r="N236" s="38">
        <f t="shared" si="37"/>
        <v>1.9908915477601035</v>
      </c>
      <c r="O236" s="37">
        <f t="shared" si="38"/>
        <v>1.4242622394517246</v>
      </c>
      <c r="P236" s="37">
        <f t="shared" si="39"/>
        <v>1.0678199602180247</v>
      </c>
      <c r="Q236" s="39">
        <f t="shared" si="40"/>
        <v>2.875530805308236</v>
      </c>
    </row>
    <row r="237" spans="2:17" customFormat="1" x14ac:dyDescent="0.25">
      <c r="B237" s="41" t="s">
        <v>1070</v>
      </c>
      <c r="C237" s="3" t="s">
        <v>379</v>
      </c>
      <c r="D237" s="3">
        <v>10.5</v>
      </c>
      <c r="E237" s="3">
        <v>16.068994287155174</v>
      </c>
      <c r="F237" s="3">
        <v>480</v>
      </c>
      <c r="G237" s="4">
        <v>20.13</v>
      </c>
      <c r="H237" s="7"/>
      <c r="I237" s="38">
        <f t="shared" si="45"/>
        <v>19.632422749752138</v>
      </c>
      <c r="J237" s="37">
        <f t="shared" si="46"/>
        <v>16.65000003201796</v>
      </c>
      <c r="K237" s="37">
        <f t="shared" si="47"/>
        <v>12.513308639515037</v>
      </c>
      <c r="L237" s="39">
        <f t="shared" si="48"/>
        <v>81.379698322374097</v>
      </c>
      <c r="M237" s="117"/>
      <c r="N237" s="38">
        <f t="shared" si="37"/>
        <v>1.8697545475954418</v>
      </c>
      <c r="O237" s="37">
        <f t="shared" si="38"/>
        <v>1.5857142887636153</v>
      </c>
      <c r="P237" s="37">
        <f t="shared" si="39"/>
        <v>1.191743679953813</v>
      </c>
      <c r="Q237" s="39">
        <f t="shared" si="40"/>
        <v>7.7504474592737234</v>
      </c>
    </row>
    <row r="238" spans="2:17" customFormat="1" x14ac:dyDescent="0.25">
      <c r="B238" s="41" t="s">
        <v>1070</v>
      </c>
      <c r="C238" s="3" t="s">
        <v>380</v>
      </c>
      <c r="D238" s="3">
        <v>10.5</v>
      </c>
      <c r="E238" s="3">
        <v>16.194457906214051</v>
      </c>
      <c r="F238" s="3">
        <v>360</v>
      </c>
      <c r="G238" s="4">
        <v>18.149999999999999</v>
      </c>
      <c r="H238" s="7"/>
      <c r="I238" s="38">
        <f t="shared" si="45"/>
        <v>20.110697694538736</v>
      </c>
      <c r="J238" s="37">
        <f t="shared" si="46"/>
        <v>16.78000003226796</v>
      </c>
      <c r="K238" s="37">
        <f t="shared" si="47"/>
        <v>10.40381682805868</v>
      </c>
      <c r="L238" s="39">
        <f t="shared" si="48"/>
        <v>69.112614924732185</v>
      </c>
      <c r="M238" s="117"/>
      <c r="N238" s="38">
        <f t="shared" si="37"/>
        <v>1.9153045423370225</v>
      </c>
      <c r="O238" s="37">
        <f t="shared" si="38"/>
        <v>1.5980952411683771</v>
      </c>
      <c r="P238" s="37">
        <f t="shared" si="39"/>
        <v>0.99083969791035054</v>
      </c>
      <c r="Q238" s="39">
        <f t="shared" si="40"/>
        <v>6.582153802355446</v>
      </c>
    </row>
    <row r="239" spans="2:17" customFormat="1" x14ac:dyDescent="0.25">
      <c r="B239" s="41" t="s">
        <v>1070</v>
      </c>
      <c r="C239" s="3" t="s">
        <v>381</v>
      </c>
      <c r="D239" s="3">
        <v>10.5</v>
      </c>
      <c r="E239" s="3">
        <v>16.068994287155174</v>
      </c>
      <c r="F239" s="3">
        <v>430</v>
      </c>
      <c r="G239" s="4">
        <v>22.1</v>
      </c>
      <c r="H239" s="7"/>
      <c r="I239" s="38">
        <f t="shared" si="45"/>
        <v>19.77230895968248</v>
      </c>
      <c r="J239" s="37">
        <f t="shared" si="46"/>
        <v>16.65000003201796</v>
      </c>
      <c r="K239" s="37">
        <f t="shared" si="47"/>
        <v>11.531619327025089</v>
      </c>
      <c r="L239" s="39">
        <f t="shared" si="48"/>
        <v>75.34486962857963</v>
      </c>
      <c r="M239" s="117"/>
      <c r="N239" s="38">
        <f t="shared" si="37"/>
        <v>1.8830770437792839</v>
      </c>
      <c r="O239" s="37">
        <f t="shared" si="38"/>
        <v>1.5857142887636153</v>
      </c>
      <c r="P239" s="37">
        <f t="shared" si="39"/>
        <v>1.0982494597166752</v>
      </c>
      <c r="Q239" s="39">
        <f t="shared" si="40"/>
        <v>7.1757018693885364</v>
      </c>
    </row>
    <row r="240" spans="2:17" customFormat="1" x14ac:dyDescent="0.25">
      <c r="B240" s="41" t="s">
        <v>1071</v>
      </c>
      <c r="C240" s="3" t="s">
        <v>382</v>
      </c>
      <c r="D240" s="3">
        <v>14.666666666666666</v>
      </c>
      <c r="E240" s="3">
        <v>14.422836936112692</v>
      </c>
      <c r="F240" s="3">
        <v>520</v>
      </c>
      <c r="G240" s="4">
        <v>26.02</v>
      </c>
      <c r="H240" s="7"/>
      <c r="I240" s="38">
        <f t="shared" ref="I240:I271" si="49">EXP(2.853221 -5.94932/D240+ 0.055943*E240-0.000218*F240)</f>
        <v>23.128885991845912</v>
      </c>
      <c r="J240" s="37">
        <f t="shared" ref="J240:J271" si="50">EXP(LN(E240) -6.96328 * (1/D240- 0.1))</f>
        <v>17.999999998362995</v>
      </c>
      <c r="K240" s="37">
        <f t="shared" ref="K240:K271" si="51">EXP(1.91575 -11.592777/D240+ 0.100823*E240+ 0.000843*F240)</f>
        <v>20.447222920797003</v>
      </c>
      <c r="L240" s="39">
        <f t="shared" ref="L240:L271" si="52">EXP(3.160695 -18.203956/D240+ 0.182736*E240+ 0.000775*F240)</f>
        <v>142.32137607284315</v>
      </c>
      <c r="M240" s="117"/>
      <c r="N240" s="38">
        <f t="shared" si="37"/>
        <v>1.5769694994440395</v>
      </c>
      <c r="O240" s="37">
        <f t="shared" si="38"/>
        <v>1.2272727271611132</v>
      </c>
      <c r="P240" s="37">
        <f t="shared" si="39"/>
        <v>1.3941288355088866</v>
      </c>
      <c r="Q240" s="39">
        <f t="shared" si="40"/>
        <v>9.7037301867847603</v>
      </c>
    </row>
    <row r="241" spans="2:17" customFormat="1" x14ac:dyDescent="0.25">
      <c r="B241" s="41" t="s">
        <v>1071</v>
      </c>
      <c r="C241" s="3" t="s">
        <v>383</v>
      </c>
      <c r="D241" s="3">
        <v>11.333333333333334</v>
      </c>
      <c r="E241" s="3">
        <v>15.66286153576992</v>
      </c>
      <c r="F241" s="3">
        <v>480</v>
      </c>
      <c r="G241" s="4">
        <v>20.83</v>
      </c>
      <c r="H241" s="7"/>
      <c r="I241" s="38">
        <f t="shared" si="49"/>
        <v>22.195031619232111</v>
      </c>
      <c r="J241" s="37">
        <f t="shared" si="50"/>
        <v>16.999999999428351</v>
      </c>
      <c r="K241" s="37">
        <f t="shared" si="51"/>
        <v>17.755131990993455</v>
      </c>
      <c r="L241" s="39">
        <f t="shared" si="52"/>
        <v>120.13693940205103</v>
      </c>
      <c r="M241" s="117"/>
      <c r="N241" s="38">
        <f t="shared" si="37"/>
        <v>1.9583851428734214</v>
      </c>
      <c r="O241" s="37">
        <f t="shared" si="38"/>
        <v>1.4999999999495603</v>
      </c>
      <c r="P241" s="37">
        <f t="shared" si="39"/>
        <v>1.5666292933229518</v>
      </c>
      <c r="Q241" s="39">
        <f t="shared" si="40"/>
        <v>10.600318182533913</v>
      </c>
    </row>
    <row r="242" spans="2:17" customFormat="1" x14ac:dyDescent="0.25">
      <c r="B242" s="41" t="s">
        <v>1071</v>
      </c>
      <c r="C242" s="3" t="s">
        <v>384</v>
      </c>
      <c r="D242" s="3">
        <v>5.75</v>
      </c>
      <c r="E242" s="3">
        <v>20.077180415124296</v>
      </c>
      <c r="F242" s="3">
        <v>615</v>
      </c>
      <c r="G242" s="4">
        <v>16.7</v>
      </c>
      <c r="H242" s="7"/>
      <c r="I242" s="38">
        <f t="shared" si="49"/>
        <v>16.571168635466471</v>
      </c>
      <c r="J242" s="37">
        <f t="shared" si="50"/>
        <v>12.000000002535145</v>
      </c>
      <c r="K242" s="37">
        <f t="shared" si="51"/>
        <v>11.499475556644697</v>
      </c>
      <c r="L242" s="39">
        <f t="shared" si="52"/>
        <v>62.81778594329959</v>
      </c>
      <c r="M242" s="117"/>
      <c r="N242" s="38">
        <f t="shared" si="37"/>
        <v>2.881942371385473</v>
      </c>
      <c r="O242" s="37">
        <f t="shared" si="38"/>
        <v>2.0869565221800253</v>
      </c>
      <c r="P242" s="37">
        <f t="shared" si="39"/>
        <v>1.9999087924599472</v>
      </c>
      <c r="Q242" s="39">
        <f t="shared" si="40"/>
        <v>10.924832337965146</v>
      </c>
    </row>
    <row r="243" spans="2:17" customFormat="1" x14ac:dyDescent="0.25">
      <c r="B243" s="41" t="s">
        <v>1071</v>
      </c>
      <c r="C243" s="3" t="s">
        <v>385</v>
      </c>
      <c r="D243" s="3">
        <v>5.75</v>
      </c>
      <c r="E243" s="3">
        <v>19.307555165877861</v>
      </c>
      <c r="F243" s="3">
        <v>680</v>
      </c>
      <c r="G243" s="4">
        <v>15.35</v>
      </c>
      <c r="H243" s="7"/>
      <c r="I243" s="38">
        <f t="shared" si="49"/>
        <v>15.649503806344176</v>
      </c>
      <c r="J243" s="37">
        <f t="shared" si="50"/>
        <v>11.540000002437964</v>
      </c>
      <c r="K243" s="37">
        <f t="shared" si="51"/>
        <v>11.240243456416664</v>
      </c>
      <c r="L243" s="39">
        <f t="shared" si="52"/>
        <v>57.396022671501918</v>
      </c>
      <c r="M243" s="117"/>
      <c r="N243" s="38">
        <f t="shared" si="37"/>
        <v>2.7216528358859438</v>
      </c>
      <c r="O243" s="37">
        <f t="shared" si="38"/>
        <v>2.006956522163124</v>
      </c>
      <c r="P243" s="37">
        <f t="shared" si="39"/>
        <v>1.9548249489420286</v>
      </c>
      <c r="Q243" s="39">
        <f t="shared" si="40"/>
        <v>9.9819169863481587</v>
      </c>
    </row>
    <row r="244" spans="2:17" customFormat="1" x14ac:dyDescent="0.25">
      <c r="B244" s="41" t="s">
        <v>1071</v>
      </c>
      <c r="C244" s="3" t="s">
        <v>386</v>
      </c>
      <c r="D244" s="3">
        <v>5.75</v>
      </c>
      <c r="E244" s="3">
        <v>16.864831548704405</v>
      </c>
      <c r="F244" s="3">
        <v>640</v>
      </c>
      <c r="G244" s="4">
        <v>13.1</v>
      </c>
      <c r="H244" s="7"/>
      <c r="I244" s="38">
        <f t="shared" si="49"/>
        <v>13.770187421475368</v>
      </c>
      <c r="J244" s="37">
        <f t="shared" si="50"/>
        <v>10.08000000212952</v>
      </c>
      <c r="K244" s="37">
        <f t="shared" si="51"/>
        <v>8.4951701198239391</v>
      </c>
      <c r="L244" s="39">
        <f t="shared" si="52"/>
        <v>35.609108667572784</v>
      </c>
      <c r="M244" s="117"/>
      <c r="N244" s="38">
        <f t="shared" si="37"/>
        <v>2.3948152037348467</v>
      </c>
      <c r="O244" s="37">
        <f t="shared" si="38"/>
        <v>1.7530434786312208</v>
      </c>
      <c r="P244" s="37">
        <f t="shared" si="39"/>
        <v>1.4774208904041632</v>
      </c>
      <c r="Q244" s="39">
        <f t="shared" si="40"/>
        <v>6.1928884639257014</v>
      </c>
    </row>
    <row r="245" spans="2:17" customFormat="1" x14ac:dyDescent="0.25">
      <c r="B245" s="41" t="s">
        <v>1071</v>
      </c>
      <c r="C245" s="3" t="s">
        <v>387</v>
      </c>
      <c r="D245" s="3">
        <v>5.75</v>
      </c>
      <c r="E245" s="3">
        <v>15.727124658514034</v>
      </c>
      <c r="F245" s="3">
        <v>720</v>
      </c>
      <c r="G245" s="4">
        <v>11.47</v>
      </c>
      <c r="H245" s="7"/>
      <c r="I245" s="38">
        <f t="shared" si="49"/>
        <v>12.697678569396633</v>
      </c>
      <c r="J245" s="37">
        <f t="shared" si="50"/>
        <v>9.400000001985866</v>
      </c>
      <c r="K245" s="37">
        <f t="shared" si="51"/>
        <v>8.1029707930483497</v>
      </c>
      <c r="L245" s="39">
        <f t="shared" si="52"/>
        <v>30.774962707596362</v>
      </c>
      <c r="M245" s="117"/>
      <c r="N245" s="38">
        <f t="shared" si="37"/>
        <v>2.2082919251124578</v>
      </c>
      <c r="O245" s="37">
        <f t="shared" si="38"/>
        <v>1.6347826090410202</v>
      </c>
      <c r="P245" s="37">
        <f t="shared" si="39"/>
        <v>1.4092123118344957</v>
      </c>
      <c r="Q245" s="39">
        <f t="shared" si="40"/>
        <v>5.3521674274080633</v>
      </c>
    </row>
    <row r="246" spans="2:17" customFormat="1" x14ac:dyDescent="0.25">
      <c r="B246" s="41" t="s">
        <v>1071</v>
      </c>
      <c r="C246" s="3" t="s">
        <v>388</v>
      </c>
      <c r="D246" s="3">
        <v>5.75</v>
      </c>
      <c r="E246" s="3">
        <v>20.077180415124296</v>
      </c>
      <c r="F246" s="3">
        <v>600</v>
      </c>
      <c r="G246" s="4">
        <v>16.079999999999998</v>
      </c>
      <c r="H246" s="7"/>
      <c r="I246" s="38">
        <f t="shared" si="49"/>
        <v>16.625445050478646</v>
      </c>
      <c r="J246" s="37">
        <f t="shared" si="50"/>
        <v>12.000000002535145</v>
      </c>
      <c r="K246" s="37">
        <f t="shared" si="51"/>
        <v>11.354980185562416</v>
      </c>
      <c r="L246" s="39">
        <f t="shared" si="52"/>
        <v>62.091757398933687</v>
      </c>
      <c r="M246" s="117"/>
      <c r="N246" s="38">
        <f t="shared" si="37"/>
        <v>2.8913817479093296</v>
      </c>
      <c r="O246" s="37">
        <f t="shared" si="38"/>
        <v>2.0869565221800253</v>
      </c>
      <c r="P246" s="37">
        <f t="shared" si="39"/>
        <v>1.9747791627065072</v>
      </c>
      <c r="Q246" s="39">
        <f t="shared" si="40"/>
        <v>10.79856650416238</v>
      </c>
    </row>
    <row r="247" spans="2:17" customFormat="1" x14ac:dyDescent="0.25">
      <c r="B247" s="41" t="s">
        <v>1071</v>
      </c>
      <c r="C247" s="3" t="s">
        <v>389</v>
      </c>
      <c r="D247" s="3">
        <v>5.75</v>
      </c>
      <c r="E247" s="3">
        <v>18.404082047197274</v>
      </c>
      <c r="F247" s="3">
        <v>635</v>
      </c>
      <c r="G247" s="4">
        <v>21.09</v>
      </c>
      <c r="H247" s="7"/>
      <c r="I247" s="38">
        <f t="shared" si="49"/>
        <v>15.024860774773009</v>
      </c>
      <c r="J247" s="37">
        <f t="shared" si="50"/>
        <v>11.000000002323885</v>
      </c>
      <c r="K247" s="37">
        <f t="shared" si="51"/>
        <v>9.879625772941635</v>
      </c>
      <c r="L247" s="39">
        <f t="shared" si="52"/>
        <v>46.993201657947495</v>
      </c>
      <c r="M247" s="117"/>
      <c r="N247" s="38">
        <f t="shared" si="37"/>
        <v>2.6130192651779147</v>
      </c>
      <c r="O247" s="37">
        <f t="shared" si="38"/>
        <v>1.9130434786650234</v>
      </c>
      <c r="P247" s="37">
        <f t="shared" si="39"/>
        <v>1.7181957865985453</v>
      </c>
      <c r="Q247" s="39">
        <f t="shared" si="40"/>
        <v>8.1727307231213029</v>
      </c>
    </row>
    <row r="248" spans="2:17" customFormat="1" x14ac:dyDescent="0.25">
      <c r="B248" s="41" t="s">
        <v>1071</v>
      </c>
      <c r="C248" s="3" t="s">
        <v>390</v>
      </c>
      <c r="D248" s="3">
        <v>5.75</v>
      </c>
      <c r="E248" s="3">
        <v>20.077180415124296</v>
      </c>
      <c r="F248" s="3">
        <v>440</v>
      </c>
      <c r="G248" s="4">
        <v>18.27</v>
      </c>
      <c r="H248" s="7"/>
      <c r="I248" s="38">
        <f t="shared" si="49"/>
        <v>17.215572569175446</v>
      </c>
      <c r="J248" s="37">
        <f t="shared" si="50"/>
        <v>12.000000002535145</v>
      </c>
      <c r="K248" s="37">
        <f t="shared" si="51"/>
        <v>9.9222174596862835</v>
      </c>
      <c r="L248" s="39">
        <f t="shared" si="52"/>
        <v>54.850606771200425</v>
      </c>
      <c r="M248" s="117"/>
      <c r="N248" s="38">
        <f t="shared" si="37"/>
        <v>2.9940126207261644</v>
      </c>
      <c r="O248" s="37">
        <f t="shared" si="38"/>
        <v>2.0869565221800253</v>
      </c>
      <c r="P248" s="37">
        <f t="shared" si="39"/>
        <v>1.7256030364671797</v>
      </c>
      <c r="Q248" s="39">
        <f t="shared" si="40"/>
        <v>9.5392359602087691</v>
      </c>
    </row>
    <row r="249" spans="2:17" customFormat="1" x14ac:dyDescent="0.25">
      <c r="B249" s="41" t="s">
        <v>1071</v>
      </c>
      <c r="C249" s="3" t="s">
        <v>391</v>
      </c>
      <c r="D249" s="3">
        <v>5.75</v>
      </c>
      <c r="E249" s="3">
        <v>19.709098774180351</v>
      </c>
      <c r="F249" s="3">
        <v>520</v>
      </c>
      <c r="G249" s="4">
        <v>17.57</v>
      </c>
      <c r="H249" s="7"/>
      <c r="I249" s="38">
        <f t="shared" si="49"/>
        <v>16.573130923181228</v>
      </c>
      <c r="J249" s="37">
        <f t="shared" si="50"/>
        <v>11.780000002488666</v>
      </c>
      <c r="K249" s="37">
        <f t="shared" si="51"/>
        <v>10.227757372681223</v>
      </c>
      <c r="L249" s="39">
        <f t="shared" si="52"/>
        <v>54.562753644980589</v>
      </c>
      <c r="M249" s="117"/>
      <c r="N249" s="38">
        <f t="shared" si="37"/>
        <v>2.8822836388141266</v>
      </c>
      <c r="O249" s="37">
        <f t="shared" si="38"/>
        <v>2.0486956526067246</v>
      </c>
      <c r="P249" s="37">
        <f t="shared" si="39"/>
        <v>1.7787404126402127</v>
      </c>
      <c r="Q249" s="39">
        <f t="shared" si="40"/>
        <v>9.4891745469531461</v>
      </c>
    </row>
    <row r="250" spans="2:17" customFormat="1" x14ac:dyDescent="0.25">
      <c r="B250" s="41" t="s">
        <v>1071</v>
      </c>
      <c r="C250" s="3" t="s">
        <v>392</v>
      </c>
      <c r="D250" s="3">
        <v>5.75</v>
      </c>
      <c r="E250" s="3">
        <v>18.404082047197274</v>
      </c>
      <c r="F250" s="3">
        <v>660</v>
      </c>
      <c r="G250" s="4">
        <v>14.88</v>
      </c>
      <c r="H250" s="7"/>
      <c r="I250" s="38">
        <f t="shared" si="49"/>
        <v>14.943198016698485</v>
      </c>
      <c r="J250" s="37">
        <f t="shared" si="50"/>
        <v>11.000000002323885</v>
      </c>
      <c r="K250" s="37">
        <f t="shared" si="51"/>
        <v>10.090048426508899</v>
      </c>
      <c r="L250" s="39">
        <f t="shared" si="52"/>
        <v>47.912572585845226</v>
      </c>
      <c r="M250" s="117"/>
      <c r="N250" s="38">
        <f t="shared" si="37"/>
        <v>2.598817046382345</v>
      </c>
      <c r="O250" s="37">
        <f t="shared" si="38"/>
        <v>1.9130434786650234</v>
      </c>
      <c r="P250" s="37">
        <f t="shared" si="39"/>
        <v>1.7547910306971999</v>
      </c>
      <c r="Q250" s="39">
        <f t="shared" si="40"/>
        <v>8.3326213192774308</v>
      </c>
    </row>
    <row r="251" spans="2:17" customFormat="1" x14ac:dyDescent="0.25">
      <c r="B251" s="41" t="s">
        <v>1071</v>
      </c>
      <c r="C251" s="3" t="s">
        <v>393</v>
      </c>
      <c r="D251" s="3">
        <v>4.75</v>
      </c>
      <c r="E251" s="3">
        <v>16.451259740106877</v>
      </c>
      <c r="F251" s="3">
        <v>1089</v>
      </c>
      <c r="G251" s="4">
        <v>10.86</v>
      </c>
      <c r="H251" s="7"/>
      <c r="I251" s="38">
        <f t="shared" si="49"/>
        <v>9.8125620100899091</v>
      </c>
      <c r="J251" s="37">
        <f t="shared" si="50"/>
        <v>7.6200000024072532</v>
      </c>
      <c r="K251" s="37">
        <f t="shared" si="51"/>
        <v>7.7823451754283646</v>
      </c>
      <c r="L251" s="39">
        <f t="shared" si="52"/>
        <v>24.010605063497209</v>
      </c>
      <c r="M251" s="117"/>
      <c r="N251" s="38">
        <f t="shared" si="37"/>
        <v>2.0658025284399808</v>
      </c>
      <c r="O251" s="37">
        <f t="shared" si="38"/>
        <v>1.6042105268225797</v>
      </c>
      <c r="P251" s="37">
        <f t="shared" si="39"/>
        <v>1.6383884579849188</v>
      </c>
      <c r="Q251" s="39">
        <f t="shared" si="40"/>
        <v>5.0548642238941497</v>
      </c>
    </row>
    <row r="252" spans="2:17" customFormat="1" x14ac:dyDescent="0.25">
      <c r="B252" s="41" t="s">
        <v>1071</v>
      </c>
      <c r="C252" s="3" t="s">
        <v>394</v>
      </c>
      <c r="D252" s="3">
        <v>4.75</v>
      </c>
      <c r="E252" s="3">
        <v>13.860510174735719</v>
      </c>
      <c r="F252" s="3">
        <v>1088</v>
      </c>
      <c r="G252" s="4">
        <v>10.039999999999999</v>
      </c>
      <c r="H252" s="7"/>
      <c r="I252" s="38">
        <f t="shared" si="49"/>
        <v>8.4904932776356166</v>
      </c>
      <c r="J252" s="37">
        <f t="shared" si="50"/>
        <v>6.420000002028158</v>
      </c>
      <c r="K252" s="37">
        <f t="shared" si="51"/>
        <v>5.9883001213566285</v>
      </c>
      <c r="L252" s="39">
        <f t="shared" si="52"/>
        <v>14.94381344520497</v>
      </c>
      <c r="M252" s="117"/>
      <c r="N252" s="38">
        <f t="shared" si="37"/>
        <v>1.7874722689759193</v>
      </c>
      <c r="O252" s="37">
        <f t="shared" si="38"/>
        <v>1.3515789477954017</v>
      </c>
      <c r="P252" s="37">
        <f t="shared" si="39"/>
        <v>1.2606947623908691</v>
      </c>
      <c r="Q252" s="39">
        <f t="shared" si="40"/>
        <v>3.1460659884642044</v>
      </c>
    </row>
    <row r="253" spans="2:17" customFormat="1" x14ac:dyDescent="0.25">
      <c r="B253" s="41" t="s">
        <v>1071</v>
      </c>
      <c r="C253" s="3" t="s">
        <v>395</v>
      </c>
      <c r="D253" s="3">
        <v>4.75</v>
      </c>
      <c r="E253" s="3">
        <v>13.428718580507189</v>
      </c>
      <c r="F253" s="3">
        <v>1070</v>
      </c>
      <c r="G253" s="4">
        <v>9.3699999999999992</v>
      </c>
      <c r="H253" s="7"/>
      <c r="I253" s="38">
        <f t="shared" si="49"/>
        <v>8.320442033902868</v>
      </c>
      <c r="J253" s="37">
        <f t="shared" si="50"/>
        <v>6.2200000019649746</v>
      </c>
      <c r="K253" s="37">
        <f t="shared" si="51"/>
        <v>5.6468567440500932</v>
      </c>
      <c r="L253" s="39">
        <f t="shared" si="52"/>
        <v>13.618695652349569</v>
      </c>
      <c r="M253" s="117"/>
      <c r="N253" s="38">
        <f t="shared" si="37"/>
        <v>1.7516720071374459</v>
      </c>
      <c r="O253" s="37">
        <f t="shared" si="38"/>
        <v>1.3094736846242052</v>
      </c>
      <c r="P253" s="37">
        <f t="shared" si="39"/>
        <v>1.1888119461158091</v>
      </c>
      <c r="Q253" s="39">
        <f t="shared" si="40"/>
        <v>2.8670938215472774</v>
      </c>
    </row>
    <row r="254" spans="2:17" customFormat="1" x14ac:dyDescent="0.25">
      <c r="B254" s="41" t="s">
        <v>1071</v>
      </c>
      <c r="C254" s="3" t="s">
        <v>396</v>
      </c>
      <c r="D254" s="3">
        <v>4.75</v>
      </c>
      <c r="E254" s="3">
        <v>18.351142754712399</v>
      </c>
      <c r="F254" s="3">
        <v>860</v>
      </c>
      <c r="G254" s="4">
        <v>12.86</v>
      </c>
      <c r="H254" s="7"/>
      <c r="I254" s="38">
        <f t="shared" si="49"/>
        <v>11.471555746419279</v>
      </c>
      <c r="J254" s="37">
        <f t="shared" si="50"/>
        <v>8.5000000026852565</v>
      </c>
      <c r="K254" s="37">
        <f t="shared" si="51"/>
        <v>7.7707185251194453</v>
      </c>
      <c r="L254" s="39">
        <f t="shared" si="52"/>
        <v>28.451407524001905</v>
      </c>
      <c r="M254" s="117"/>
      <c r="N254" s="38">
        <f t="shared" si="37"/>
        <v>2.4150643676672168</v>
      </c>
      <c r="O254" s="37">
        <f t="shared" si="38"/>
        <v>1.7894736847758435</v>
      </c>
      <c r="P254" s="37">
        <f t="shared" si="39"/>
        <v>1.6359407421304095</v>
      </c>
      <c r="Q254" s="39">
        <f t="shared" si="40"/>
        <v>5.9897700050530327</v>
      </c>
    </row>
    <row r="255" spans="2:17" customFormat="1" x14ac:dyDescent="0.25">
      <c r="B255" s="41" t="s">
        <v>1071</v>
      </c>
      <c r="C255" s="3" t="s">
        <v>397</v>
      </c>
      <c r="D255" s="3">
        <v>4.166666666666667</v>
      </c>
      <c r="E255" s="3">
        <v>17.813335370732258</v>
      </c>
      <c r="F255" s="3">
        <v>1000</v>
      </c>
      <c r="G255" s="4">
        <v>8.48</v>
      </c>
      <c r="H255" s="7"/>
      <c r="I255" s="38">
        <f t="shared" si="49"/>
        <v>9.0604213051406752</v>
      </c>
      <c r="J255" s="37">
        <f t="shared" si="50"/>
        <v>6.7200000026890452</v>
      </c>
      <c r="K255" s="37">
        <f t="shared" si="51"/>
        <v>5.8854160334237289</v>
      </c>
      <c r="L255" s="39">
        <f t="shared" si="52"/>
        <v>16.808474811922139</v>
      </c>
      <c r="M255" s="117"/>
      <c r="N255" s="38">
        <f t="shared" si="37"/>
        <v>2.1745011132337617</v>
      </c>
      <c r="O255" s="37">
        <f t="shared" si="38"/>
        <v>1.6128000006453707</v>
      </c>
      <c r="P255" s="37">
        <f t="shared" si="39"/>
        <v>1.4124998480216948</v>
      </c>
      <c r="Q255" s="39">
        <f t="shared" si="40"/>
        <v>4.0340339548613127</v>
      </c>
    </row>
    <row r="256" spans="2:17" customFormat="1" x14ac:dyDescent="0.25">
      <c r="B256" s="41" t="s">
        <v>1071</v>
      </c>
      <c r="C256" s="3" t="s">
        <v>398</v>
      </c>
      <c r="D256" s="3">
        <v>3.6666666666666665</v>
      </c>
      <c r="E256" s="3">
        <v>18.310899000627913</v>
      </c>
      <c r="F256" s="3">
        <v>1160</v>
      </c>
      <c r="G256" s="4">
        <v>9.18</v>
      </c>
      <c r="H256" s="7"/>
      <c r="I256" s="38">
        <f t="shared" si="49"/>
        <v>7.4050766931716492</v>
      </c>
      <c r="J256" s="37">
        <f t="shared" si="50"/>
        <v>5.5000000027153417</v>
      </c>
      <c r="K256" s="37">
        <f t="shared" si="51"/>
        <v>4.8458531345060551</v>
      </c>
      <c r="L256" s="39">
        <f t="shared" si="52"/>
        <v>11.484980830522025</v>
      </c>
      <c r="M256" s="117"/>
      <c r="N256" s="38">
        <f t="shared" si="37"/>
        <v>2.0195663708649954</v>
      </c>
      <c r="O256" s="37">
        <f t="shared" si="38"/>
        <v>1.5000000007405478</v>
      </c>
      <c r="P256" s="37">
        <f t="shared" si="39"/>
        <v>1.3215963094107424</v>
      </c>
      <c r="Q256" s="39">
        <f t="shared" si="40"/>
        <v>3.1322674992332797</v>
      </c>
    </row>
    <row r="257" spans="2:17" customFormat="1" x14ac:dyDescent="0.25">
      <c r="B257" s="41" t="s">
        <v>1071</v>
      </c>
      <c r="C257" s="3" t="s">
        <v>399</v>
      </c>
      <c r="D257" s="3">
        <v>3.6666666666666665</v>
      </c>
      <c r="E257" s="3">
        <v>18.643824437002959</v>
      </c>
      <c r="F257" s="3">
        <v>1120</v>
      </c>
      <c r="G257" s="4">
        <v>9.39</v>
      </c>
      <c r="H257" s="7"/>
      <c r="I257" s="38">
        <f t="shared" si="49"/>
        <v>7.610361334603545</v>
      </c>
      <c r="J257" s="37">
        <f t="shared" si="50"/>
        <v>5.6000000027647099</v>
      </c>
      <c r="K257" s="37">
        <f t="shared" si="51"/>
        <v>4.8451095531022093</v>
      </c>
      <c r="L257" s="39">
        <f t="shared" si="52"/>
        <v>11.832827135219594</v>
      </c>
      <c r="M257" s="117"/>
      <c r="N257" s="38">
        <f t="shared" si="37"/>
        <v>2.0755530912555122</v>
      </c>
      <c r="O257" s="37">
        <f t="shared" si="38"/>
        <v>1.5272727280267391</v>
      </c>
      <c r="P257" s="37">
        <f t="shared" si="39"/>
        <v>1.3213935144824207</v>
      </c>
      <c r="Q257" s="39">
        <f t="shared" si="40"/>
        <v>3.2271346732417077</v>
      </c>
    </row>
    <row r="258" spans="2:17" customFormat="1" x14ac:dyDescent="0.25">
      <c r="B258" s="41" t="s">
        <v>1071</v>
      </c>
      <c r="C258" s="3" t="s">
        <v>400</v>
      </c>
      <c r="D258" s="3">
        <v>12.666666666666666</v>
      </c>
      <c r="E258" s="3">
        <v>10.510539740503164</v>
      </c>
      <c r="F258" s="3">
        <v>1290</v>
      </c>
      <c r="G258" s="4">
        <v>15.22</v>
      </c>
      <c r="H258" s="7"/>
      <c r="I258" s="38">
        <f t="shared" si="49"/>
        <v>14.736228222550524</v>
      </c>
      <c r="J258" s="37">
        <f t="shared" si="50"/>
        <v>12.169999999267688</v>
      </c>
      <c r="K258" s="37">
        <f t="shared" si="51"/>
        <v>23.282567659065876</v>
      </c>
      <c r="L258" s="39">
        <f t="shared" si="52"/>
        <v>103.95359201937598</v>
      </c>
      <c r="M258" s="117"/>
      <c r="N258" s="38">
        <f t="shared" si="37"/>
        <v>1.16338643862241</v>
      </c>
      <c r="O258" s="37">
        <f t="shared" si="38"/>
        <v>0.96078947362639644</v>
      </c>
      <c r="P258" s="37">
        <f t="shared" si="39"/>
        <v>1.8380974467683586</v>
      </c>
      <c r="Q258" s="39">
        <f t="shared" si="40"/>
        <v>8.2068625278454714</v>
      </c>
    </row>
    <row r="259" spans="2:17" customFormat="1" x14ac:dyDescent="0.25">
      <c r="B259" s="41" t="s">
        <v>1071</v>
      </c>
      <c r="C259" s="3" t="s">
        <v>401</v>
      </c>
      <c r="D259" s="3">
        <v>12.666666666666666</v>
      </c>
      <c r="E259" s="3">
        <v>12.453737309618372</v>
      </c>
      <c r="F259" s="3">
        <v>1040</v>
      </c>
      <c r="G259" s="4">
        <v>16.84</v>
      </c>
      <c r="H259" s="7"/>
      <c r="I259" s="38">
        <f t="shared" si="49"/>
        <v>17.348694670228721</v>
      </c>
      <c r="J259" s="37">
        <f t="shared" si="50"/>
        <v>14.419999999132294</v>
      </c>
      <c r="K259" s="37">
        <f t="shared" si="51"/>
        <v>22.939812081435658</v>
      </c>
      <c r="L259" s="39">
        <f t="shared" si="52"/>
        <v>122.15451013659296</v>
      </c>
      <c r="M259" s="117"/>
      <c r="N259" s="38">
        <f t="shared" si="37"/>
        <v>1.3696337897548991</v>
      </c>
      <c r="O259" s="37">
        <f t="shared" si="38"/>
        <v>1.1384210525630758</v>
      </c>
      <c r="P259" s="37">
        <f t="shared" si="39"/>
        <v>1.8110377959028152</v>
      </c>
      <c r="Q259" s="39">
        <f t="shared" si="40"/>
        <v>9.6437771160468131</v>
      </c>
    </row>
    <row r="260" spans="2:17" customFormat="1" x14ac:dyDescent="0.25">
      <c r="B260" s="41" t="s">
        <v>1071</v>
      </c>
      <c r="C260" s="3" t="s">
        <v>402</v>
      </c>
      <c r="D260" s="3">
        <v>12.666666666666666</v>
      </c>
      <c r="E260" s="3">
        <v>17.704688963049701</v>
      </c>
      <c r="F260" s="3">
        <v>1140</v>
      </c>
      <c r="G260" s="4">
        <v>21.47</v>
      </c>
      <c r="H260" s="7"/>
      <c r="I260" s="38">
        <f t="shared" si="49"/>
        <v>22.770623375752962</v>
      </c>
      <c r="J260" s="37">
        <f t="shared" si="50"/>
        <v>20.499999998766441</v>
      </c>
      <c r="K260" s="37">
        <f t="shared" si="51"/>
        <v>42.376358258271239</v>
      </c>
      <c r="L260" s="39">
        <f t="shared" si="52"/>
        <v>344.57942703111524</v>
      </c>
      <c r="M260" s="117"/>
      <c r="N260" s="38">
        <f t="shared" si="37"/>
        <v>1.7976807928226024</v>
      </c>
      <c r="O260" s="37">
        <f t="shared" si="38"/>
        <v>1.6184210525341929</v>
      </c>
      <c r="P260" s="37">
        <f t="shared" si="39"/>
        <v>3.3455019677582558</v>
      </c>
      <c r="Q260" s="39">
        <f t="shared" si="40"/>
        <v>27.203638976140677</v>
      </c>
    </row>
    <row r="261" spans="2:17" customFormat="1" x14ac:dyDescent="0.25">
      <c r="B261" s="41" t="s">
        <v>1071</v>
      </c>
      <c r="C261" s="3" t="s">
        <v>403</v>
      </c>
      <c r="D261" s="3">
        <v>11.666666666666666</v>
      </c>
      <c r="E261" s="3">
        <v>14.684163792716605</v>
      </c>
      <c r="F261" s="3">
        <v>1340</v>
      </c>
      <c r="G261" s="4">
        <v>16.13</v>
      </c>
      <c r="H261" s="7"/>
      <c r="I261" s="38">
        <f t="shared" si="49"/>
        <v>17.683561173558246</v>
      </c>
      <c r="J261" s="37">
        <f t="shared" si="50"/>
        <v>16.219999999337698</v>
      </c>
      <c r="K261" s="37">
        <f t="shared" si="51"/>
        <v>34.199288715950786</v>
      </c>
      <c r="L261" s="39">
        <f t="shared" si="52"/>
        <v>204.83018481798982</v>
      </c>
      <c r="M261" s="117"/>
      <c r="N261" s="38">
        <f t="shared" si="37"/>
        <v>1.5157338148764212</v>
      </c>
      <c r="O261" s="37">
        <f t="shared" si="38"/>
        <v>1.3902857142289458</v>
      </c>
      <c r="P261" s="37">
        <f t="shared" si="39"/>
        <v>2.9313676042243531</v>
      </c>
      <c r="Q261" s="39">
        <f t="shared" si="40"/>
        <v>17.556872984399128</v>
      </c>
    </row>
    <row r="262" spans="2:17" customFormat="1" x14ac:dyDescent="0.25">
      <c r="B262" s="41" t="s">
        <v>1071</v>
      </c>
      <c r="C262" s="3" t="s">
        <v>404</v>
      </c>
      <c r="D262" s="3">
        <v>11.666666666666666</v>
      </c>
      <c r="E262" s="3">
        <v>18.106243887443409</v>
      </c>
      <c r="F262" s="3">
        <v>1260</v>
      </c>
      <c r="G262" s="4">
        <v>20.55</v>
      </c>
      <c r="H262" s="7"/>
      <c r="I262" s="38">
        <f t="shared" si="49"/>
        <v>21.791432490154349</v>
      </c>
      <c r="J262" s="37">
        <f t="shared" si="50"/>
        <v>19.999999999183352</v>
      </c>
      <c r="K262" s="37">
        <f t="shared" si="51"/>
        <v>45.140923396639181</v>
      </c>
      <c r="L262" s="39">
        <f t="shared" si="52"/>
        <v>359.78926940750989</v>
      </c>
      <c r="M262" s="117"/>
      <c r="N262" s="38">
        <f t="shared" ref="N262:N325" si="53">I262/D262</f>
        <v>1.8678370705846585</v>
      </c>
      <c r="O262" s="37">
        <f t="shared" ref="O262:O325" si="54">J262/D262</f>
        <v>1.714285714215716</v>
      </c>
      <c r="P262" s="37">
        <f t="shared" ref="P262:P325" si="55">K262/D262</f>
        <v>3.8692220054262156</v>
      </c>
      <c r="Q262" s="39">
        <f t="shared" ref="Q262:Q325" si="56">L262/D262</f>
        <v>30.839080234929419</v>
      </c>
    </row>
    <row r="263" spans="2:17" customFormat="1" x14ac:dyDescent="0.25">
      <c r="B263" s="41" t="s">
        <v>1071</v>
      </c>
      <c r="C263" s="3" t="s">
        <v>405</v>
      </c>
      <c r="D263" s="3">
        <v>12.666666666666666</v>
      </c>
      <c r="E263" s="3">
        <v>16.92740993540362</v>
      </c>
      <c r="F263" s="3">
        <v>1360</v>
      </c>
      <c r="G263" s="4">
        <v>21.67</v>
      </c>
      <c r="H263" s="7"/>
      <c r="I263" s="38">
        <f t="shared" si="49"/>
        <v>20.780767844546716</v>
      </c>
      <c r="J263" s="37">
        <f t="shared" si="50"/>
        <v>19.5999999988206</v>
      </c>
      <c r="K263" s="37">
        <f t="shared" si="51"/>
        <v>47.166458504585158</v>
      </c>
      <c r="L263" s="39">
        <f t="shared" si="52"/>
        <v>354.52815371097341</v>
      </c>
      <c r="M263" s="117"/>
      <c r="N263" s="38">
        <f t="shared" si="53"/>
        <v>1.6405869350957936</v>
      </c>
      <c r="O263" s="37">
        <f t="shared" si="54"/>
        <v>1.5473684209595211</v>
      </c>
      <c r="P263" s="37">
        <f t="shared" si="55"/>
        <v>3.7236677766777757</v>
      </c>
      <c r="Q263" s="39">
        <f t="shared" si="56"/>
        <v>27.989064766655797</v>
      </c>
    </row>
    <row r="264" spans="2:17" customFormat="1" x14ac:dyDescent="0.25">
      <c r="B264" s="41" t="s">
        <v>1071</v>
      </c>
      <c r="C264" s="3" t="s">
        <v>406</v>
      </c>
      <c r="D264" s="3">
        <v>10.666666666666666</v>
      </c>
      <c r="E264" s="3">
        <v>12.216588947342046</v>
      </c>
      <c r="F264" s="3">
        <v>700</v>
      </c>
      <c r="G264" s="4">
        <v>19.14</v>
      </c>
      <c r="H264" s="7"/>
      <c r="I264" s="38">
        <f t="shared" si="49"/>
        <v>16.882960949431478</v>
      </c>
      <c r="J264" s="37">
        <f t="shared" si="50"/>
        <v>12.759999999772056</v>
      </c>
      <c r="K264" s="37">
        <f t="shared" si="51"/>
        <v>14.164520811897727</v>
      </c>
      <c r="L264" s="39">
        <f t="shared" si="52"/>
        <v>68.647500544826968</v>
      </c>
      <c r="M264" s="117"/>
      <c r="N264" s="38">
        <f t="shared" si="53"/>
        <v>1.5827775890092011</v>
      </c>
      <c r="O264" s="37">
        <f t="shared" si="54"/>
        <v>1.1962499999786302</v>
      </c>
      <c r="P264" s="37">
        <f t="shared" si="55"/>
        <v>1.327923826115412</v>
      </c>
      <c r="Q264" s="39">
        <f t="shared" si="56"/>
        <v>6.4357031760775287</v>
      </c>
    </row>
    <row r="265" spans="2:17" customFormat="1" x14ac:dyDescent="0.25">
      <c r="B265" s="41" t="s">
        <v>1071</v>
      </c>
      <c r="C265" s="3" t="s">
        <v>407</v>
      </c>
      <c r="D265" s="3">
        <v>13.666666666666666</v>
      </c>
      <c r="E265" s="3">
        <v>10.121038167766635</v>
      </c>
      <c r="F265" s="3">
        <v>620</v>
      </c>
      <c r="G265" s="4">
        <v>16.55</v>
      </c>
      <c r="H265" s="7"/>
      <c r="I265" s="38">
        <f t="shared" si="49"/>
        <v>17.269572546881722</v>
      </c>
      <c r="J265" s="37">
        <f t="shared" si="50"/>
        <v>12.199999999064444</v>
      </c>
      <c r="K265" s="37">
        <f t="shared" si="51"/>
        <v>13.607096465403039</v>
      </c>
      <c r="L265" s="39">
        <f t="shared" si="52"/>
        <v>63.986764042626767</v>
      </c>
      <c r="M265" s="117"/>
      <c r="N265" s="38">
        <f t="shared" si="53"/>
        <v>1.263627259527931</v>
      </c>
      <c r="O265" s="37">
        <f t="shared" si="54"/>
        <v>0.89268292676081296</v>
      </c>
      <c r="P265" s="37">
        <f t="shared" si="55"/>
        <v>0.99564120478558826</v>
      </c>
      <c r="Q265" s="39">
        <f t="shared" si="56"/>
        <v>4.6819583445824469</v>
      </c>
    </row>
    <row r="266" spans="2:17" customFormat="1" x14ac:dyDescent="0.25">
      <c r="B266" s="41" t="s">
        <v>1071</v>
      </c>
      <c r="C266" s="3" t="s">
        <v>408</v>
      </c>
      <c r="D266" s="3">
        <v>13.666666666666666</v>
      </c>
      <c r="E266" s="3">
        <v>13.27349267903821</v>
      </c>
      <c r="F266" s="3">
        <v>920</v>
      </c>
      <c r="G266" s="4">
        <v>20.98</v>
      </c>
      <c r="H266" s="7"/>
      <c r="I266" s="38">
        <f t="shared" si="49"/>
        <v>19.296117374792942</v>
      </c>
      <c r="J266" s="37">
        <f t="shared" si="50"/>
        <v>15.99999999877304</v>
      </c>
      <c r="K266" s="37">
        <f t="shared" si="51"/>
        <v>24.078790162778887</v>
      </c>
      <c r="L266" s="39">
        <f t="shared" si="52"/>
        <v>143.63037764185569</v>
      </c>
      <c r="M266" s="117"/>
      <c r="N266" s="38">
        <f t="shared" si="53"/>
        <v>1.411911027423874</v>
      </c>
      <c r="O266" s="37">
        <f t="shared" si="54"/>
        <v>1.1707317072272956</v>
      </c>
      <c r="P266" s="37">
        <f t="shared" si="55"/>
        <v>1.7618626948374796</v>
      </c>
      <c r="Q266" s="39">
        <f t="shared" si="56"/>
        <v>10.509539827452855</v>
      </c>
    </row>
    <row r="267" spans="2:17" customFormat="1" x14ac:dyDescent="0.25">
      <c r="B267" s="41" t="s">
        <v>1071</v>
      </c>
      <c r="C267" s="3" t="s">
        <v>409</v>
      </c>
      <c r="D267" s="3">
        <v>8.5833333333333339</v>
      </c>
      <c r="E267" s="3">
        <v>12.362154215242528</v>
      </c>
      <c r="F267" s="3">
        <v>800</v>
      </c>
      <c r="G267" s="4">
        <v>17.5</v>
      </c>
      <c r="H267" s="7"/>
      <c r="I267" s="38">
        <f t="shared" si="49"/>
        <v>14.545364227679419</v>
      </c>
      <c r="J267" s="37">
        <f t="shared" si="50"/>
        <v>11.02000000051987</v>
      </c>
      <c r="K267" s="37">
        <f t="shared" si="51"/>
        <v>12.012222562870015</v>
      </c>
      <c r="L267" s="39">
        <f t="shared" si="52"/>
        <v>50.342838261842658</v>
      </c>
      <c r="M267" s="117"/>
      <c r="N267" s="38">
        <f t="shared" si="53"/>
        <v>1.6946055410888643</v>
      </c>
      <c r="O267" s="37">
        <f t="shared" si="54"/>
        <v>1.2838834952061984</v>
      </c>
      <c r="P267" s="37">
        <f t="shared" si="55"/>
        <v>1.3994822403343705</v>
      </c>
      <c r="Q267" s="39">
        <f t="shared" si="56"/>
        <v>5.8651850402146781</v>
      </c>
    </row>
    <row r="268" spans="2:17" customFormat="1" x14ac:dyDescent="0.25">
      <c r="B268" s="41" t="s">
        <v>1071</v>
      </c>
      <c r="C268" s="3" t="s">
        <v>410</v>
      </c>
      <c r="D268" s="3">
        <v>8.3333333333333339</v>
      </c>
      <c r="E268" s="3">
        <v>16.896611415091368</v>
      </c>
      <c r="F268" s="3">
        <v>540</v>
      </c>
      <c r="G268" s="4">
        <v>18.07</v>
      </c>
      <c r="H268" s="7"/>
      <c r="I268" s="38">
        <f t="shared" si="49"/>
        <v>19.430222844047147</v>
      </c>
      <c r="J268" s="37">
        <f t="shared" si="50"/>
        <v>14.700000000840324</v>
      </c>
      <c r="K268" s="37">
        <f t="shared" si="51"/>
        <v>14.634822808686925</v>
      </c>
      <c r="L268" s="39">
        <f t="shared" si="52"/>
        <v>88.441336122601058</v>
      </c>
      <c r="M268" s="117"/>
      <c r="N268" s="38">
        <f t="shared" si="53"/>
        <v>2.3316267412856577</v>
      </c>
      <c r="O268" s="37">
        <f t="shared" si="54"/>
        <v>1.7640000001008389</v>
      </c>
      <c r="P268" s="37">
        <f t="shared" si="55"/>
        <v>1.7561787370424309</v>
      </c>
      <c r="Q268" s="39">
        <f t="shared" si="56"/>
        <v>10.612960334712126</v>
      </c>
    </row>
    <row r="269" spans="2:17" customFormat="1" x14ac:dyDescent="0.25">
      <c r="B269" s="41" t="s">
        <v>1071</v>
      </c>
      <c r="C269" s="3" t="s">
        <v>411</v>
      </c>
      <c r="D269" s="3">
        <v>15</v>
      </c>
      <c r="E269" s="3">
        <v>17.656979562387587</v>
      </c>
      <c r="F269" s="3">
        <v>430</v>
      </c>
      <c r="G269" s="4">
        <v>23.73</v>
      </c>
      <c r="H269" s="7"/>
      <c r="I269" s="38">
        <f t="shared" si="49"/>
        <v>28.521097435897214</v>
      </c>
      <c r="J269" s="37">
        <f t="shared" si="50"/>
        <v>22.269999997878223</v>
      </c>
      <c r="K269" s="37">
        <f t="shared" si="51"/>
        <v>26.725491571008654</v>
      </c>
      <c r="L269" s="39">
        <f t="shared" si="52"/>
        <v>246.38953290058345</v>
      </c>
      <c r="M269" s="117"/>
      <c r="N269" s="38">
        <f t="shared" si="53"/>
        <v>1.9014064957264809</v>
      </c>
      <c r="O269" s="37">
        <f t="shared" si="54"/>
        <v>1.4846666665252148</v>
      </c>
      <c r="P269" s="37">
        <f t="shared" si="55"/>
        <v>1.7816994380672435</v>
      </c>
      <c r="Q269" s="39">
        <f t="shared" si="56"/>
        <v>16.425968860038896</v>
      </c>
    </row>
    <row r="270" spans="2:17" customFormat="1" x14ac:dyDescent="0.25">
      <c r="B270" s="41" t="s">
        <v>1071</v>
      </c>
      <c r="C270" s="3" t="s">
        <v>412</v>
      </c>
      <c r="D270" s="3">
        <v>15</v>
      </c>
      <c r="E270" s="3">
        <v>14.65204231310833</v>
      </c>
      <c r="F270" s="3">
        <v>470</v>
      </c>
      <c r="G270" s="4">
        <v>26.41</v>
      </c>
      <c r="H270" s="7"/>
      <c r="I270" s="38">
        <f t="shared" si="49"/>
        <v>23.898575861780966</v>
      </c>
      <c r="J270" s="37">
        <f t="shared" si="50"/>
        <v>18.479999998239311</v>
      </c>
      <c r="K270" s="37">
        <f t="shared" si="51"/>
        <v>20.417064823678928</v>
      </c>
      <c r="L270" s="39">
        <f t="shared" si="52"/>
        <v>146.76072469891457</v>
      </c>
      <c r="M270" s="117"/>
      <c r="N270" s="38">
        <f t="shared" si="53"/>
        <v>1.5932383907853978</v>
      </c>
      <c r="O270" s="37">
        <f t="shared" si="54"/>
        <v>1.2319999998826208</v>
      </c>
      <c r="P270" s="37">
        <f t="shared" si="55"/>
        <v>1.3611376549119285</v>
      </c>
      <c r="Q270" s="39">
        <f t="shared" si="56"/>
        <v>9.7840483132609712</v>
      </c>
    </row>
    <row r="271" spans="2:17" customFormat="1" x14ac:dyDescent="0.25">
      <c r="B271" s="41" t="s">
        <v>1071</v>
      </c>
      <c r="C271" s="3" t="s">
        <v>413</v>
      </c>
      <c r="D271" s="3">
        <v>15</v>
      </c>
      <c r="E271" s="3">
        <v>14.271469785495125</v>
      </c>
      <c r="F271" s="3">
        <v>500</v>
      </c>
      <c r="G271" s="4">
        <v>22.81</v>
      </c>
      <c r="H271" s="7"/>
      <c r="I271" s="38">
        <f t="shared" si="49"/>
        <v>23.242639490950417</v>
      </c>
      <c r="J271" s="37">
        <f t="shared" si="50"/>
        <v>17.999999998285041</v>
      </c>
      <c r="K271" s="37">
        <f t="shared" si="51"/>
        <v>20.151739217328863</v>
      </c>
      <c r="L271" s="39">
        <f t="shared" si="52"/>
        <v>140.12140649326602</v>
      </c>
      <c r="M271" s="117"/>
      <c r="N271" s="38">
        <f t="shared" si="53"/>
        <v>1.5495092993966944</v>
      </c>
      <c r="O271" s="37">
        <f t="shared" si="54"/>
        <v>1.1999999998856694</v>
      </c>
      <c r="P271" s="37">
        <f t="shared" si="55"/>
        <v>1.3434492811552576</v>
      </c>
      <c r="Q271" s="39">
        <f t="shared" si="56"/>
        <v>9.3414270995510673</v>
      </c>
    </row>
    <row r="272" spans="2:17" customFormat="1" x14ac:dyDescent="0.25">
      <c r="B272" s="41" t="s">
        <v>1071</v>
      </c>
      <c r="C272" s="3" t="s">
        <v>414</v>
      </c>
      <c r="D272" s="3">
        <v>15</v>
      </c>
      <c r="E272" s="3">
        <v>12.685750920440112</v>
      </c>
      <c r="F272" s="3">
        <v>260</v>
      </c>
      <c r="G272" s="4">
        <v>24.03</v>
      </c>
      <c r="H272" s="7"/>
      <c r="I272" s="38">
        <f t="shared" ref="I272:I303" si="57">EXP(2.853221 -5.94932/D272+ 0.055943*E272-0.000218*F272)</f>
        <v>22.41204708106806</v>
      </c>
      <c r="J272" s="37">
        <f t="shared" ref="J272:J303" si="58">EXP(LN(E272) -6.96328 * (1/D272- 0.1))</f>
        <v>15.999999998475593</v>
      </c>
      <c r="K272" s="37">
        <f t="shared" ref="K272:K303" si="59">EXP(1.91575 -11.592777/D272+ 0.100823*E272+ 0.000843*F272)</f>
        <v>14.028537742454601</v>
      </c>
      <c r="L272" s="39">
        <f t="shared" ref="L272:L303" si="60">EXP(3.160695 -18.203956/D272+ 0.182736*E272+ 0.000775*F272)</f>
        <v>87.072518160922442</v>
      </c>
      <c r="M272" s="117"/>
      <c r="N272" s="38">
        <f t="shared" si="53"/>
        <v>1.494136472071204</v>
      </c>
      <c r="O272" s="37">
        <f t="shared" si="54"/>
        <v>1.0666666665650395</v>
      </c>
      <c r="P272" s="37">
        <f t="shared" si="55"/>
        <v>0.93523584949697336</v>
      </c>
      <c r="Q272" s="39">
        <f t="shared" si="56"/>
        <v>5.8048345440614959</v>
      </c>
    </row>
    <row r="273" spans="2:17" customFormat="1" x14ac:dyDescent="0.25">
      <c r="B273" s="41" t="s">
        <v>1071</v>
      </c>
      <c r="C273" s="3" t="s">
        <v>415</v>
      </c>
      <c r="D273" s="3">
        <v>15</v>
      </c>
      <c r="E273" s="3">
        <v>13.391395815389595</v>
      </c>
      <c r="F273" s="3">
        <v>390</v>
      </c>
      <c r="G273" s="4">
        <v>26.16</v>
      </c>
      <c r="H273" s="7"/>
      <c r="I273" s="38">
        <f t="shared" si="57"/>
        <v>22.663020035238841</v>
      </c>
      <c r="J273" s="37">
        <f t="shared" si="58"/>
        <v>16.889999998390802</v>
      </c>
      <c r="K273" s="37">
        <f t="shared" si="59"/>
        <v>16.807561934641821</v>
      </c>
      <c r="L273" s="39">
        <f t="shared" si="60"/>
        <v>109.55624157136108</v>
      </c>
      <c r="M273" s="117"/>
      <c r="N273" s="38">
        <f t="shared" si="53"/>
        <v>1.510868002349256</v>
      </c>
      <c r="O273" s="37">
        <f t="shared" si="54"/>
        <v>1.1259999998927201</v>
      </c>
      <c r="P273" s="37">
        <f t="shared" si="55"/>
        <v>1.1205041289761215</v>
      </c>
      <c r="Q273" s="39">
        <f t="shared" si="56"/>
        <v>7.3037494380907386</v>
      </c>
    </row>
    <row r="274" spans="2:17" customFormat="1" x14ac:dyDescent="0.25">
      <c r="B274" s="41" t="s">
        <v>1071</v>
      </c>
      <c r="C274" s="3" t="s">
        <v>416</v>
      </c>
      <c r="D274" s="3">
        <v>15</v>
      </c>
      <c r="E274" s="3">
        <v>14.25561259684458</v>
      </c>
      <c r="F274" s="3">
        <v>300</v>
      </c>
      <c r="G274" s="4">
        <v>27.3</v>
      </c>
      <c r="H274" s="7"/>
      <c r="I274" s="38">
        <f t="shared" si="57"/>
        <v>24.256907014579589</v>
      </c>
      <c r="J274" s="37">
        <f t="shared" si="58"/>
        <v>17.979999998286953</v>
      </c>
      <c r="K274" s="37">
        <f t="shared" si="59"/>
        <v>16.997934367028012</v>
      </c>
      <c r="L274" s="39">
        <f t="shared" si="60"/>
        <v>119.65487493655435</v>
      </c>
      <c r="M274" s="117"/>
      <c r="N274" s="38">
        <f t="shared" si="53"/>
        <v>1.617127134305306</v>
      </c>
      <c r="O274" s="37">
        <f t="shared" si="54"/>
        <v>1.1986666665524635</v>
      </c>
      <c r="P274" s="37">
        <f t="shared" si="55"/>
        <v>1.1331956244685342</v>
      </c>
      <c r="Q274" s="39">
        <f t="shared" si="56"/>
        <v>7.9769916624369568</v>
      </c>
    </row>
    <row r="275" spans="2:17" customFormat="1" x14ac:dyDescent="0.25">
      <c r="B275" s="41" t="s">
        <v>1071</v>
      </c>
      <c r="C275" s="3" t="s">
        <v>417</v>
      </c>
      <c r="D275" s="3">
        <v>15</v>
      </c>
      <c r="E275" s="3">
        <v>15.278401264805062</v>
      </c>
      <c r="F275" s="3">
        <v>390</v>
      </c>
      <c r="G275" s="4">
        <v>24.65</v>
      </c>
      <c r="H275" s="7"/>
      <c r="I275" s="38">
        <f t="shared" si="57"/>
        <v>25.186276645550809</v>
      </c>
      <c r="J275" s="37">
        <f t="shared" si="58"/>
        <v>19.269999998164042</v>
      </c>
      <c r="K275" s="37">
        <f t="shared" si="59"/>
        <v>20.32969145558188</v>
      </c>
      <c r="L275" s="39">
        <f t="shared" si="60"/>
        <v>154.66505865218608</v>
      </c>
      <c r="M275" s="117"/>
      <c r="N275" s="38">
        <f t="shared" si="53"/>
        <v>1.6790851097033872</v>
      </c>
      <c r="O275" s="37">
        <f t="shared" si="54"/>
        <v>1.2846666665442694</v>
      </c>
      <c r="P275" s="37">
        <f t="shared" si="55"/>
        <v>1.3553127637054587</v>
      </c>
      <c r="Q275" s="39">
        <f t="shared" si="56"/>
        <v>10.311003910145738</v>
      </c>
    </row>
    <row r="276" spans="2:17" customFormat="1" x14ac:dyDescent="0.25">
      <c r="B276" s="41" t="s">
        <v>1071</v>
      </c>
      <c r="C276" s="3" t="s">
        <v>418</v>
      </c>
      <c r="D276" s="3">
        <v>12.25</v>
      </c>
      <c r="E276" s="3">
        <v>17.422891727113299</v>
      </c>
      <c r="F276" s="3">
        <v>500</v>
      </c>
      <c r="G276" s="4">
        <v>25.98</v>
      </c>
      <c r="H276" s="7"/>
      <c r="I276" s="38">
        <f t="shared" si="57"/>
        <v>25.361976300921008</v>
      </c>
      <c r="J276" s="37">
        <f t="shared" si="58"/>
        <v>19.799999998960534</v>
      </c>
      <c r="K276" s="37">
        <f t="shared" si="59"/>
        <v>23.278473973439887</v>
      </c>
      <c r="L276" s="39">
        <f t="shared" si="60"/>
        <v>189.79552684254486</v>
      </c>
      <c r="M276" s="117"/>
      <c r="N276" s="38">
        <f t="shared" si="53"/>
        <v>2.0703654123200823</v>
      </c>
      <c r="O276" s="37">
        <f t="shared" si="54"/>
        <v>1.6163265305273904</v>
      </c>
      <c r="P276" s="37">
        <f t="shared" si="55"/>
        <v>1.9002835896685621</v>
      </c>
      <c r="Q276" s="39">
        <f t="shared" si="56"/>
        <v>15.493512395309784</v>
      </c>
    </row>
    <row r="277" spans="2:17" customFormat="1" x14ac:dyDescent="0.25">
      <c r="B277" s="41" t="s">
        <v>1071</v>
      </c>
      <c r="C277" s="3" t="s">
        <v>419</v>
      </c>
      <c r="D277" s="3">
        <v>12.25</v>
      </c>
      <c r="E277" s="3">
        <v>16.718936505815787</v>
      </c>
      <c r="F277" s="3">
        <v>180</v>
      </c>
      <c r="G277" s="4">
        <v>30.68</v>
      </c>
      <c r="H277" s="7"/>
      <c r="I277" s="38">
        <f t="shared" si="57"/>
        <v>26.144260676772042</v>
      </c>
      <c r="J277" s="37">
        <f t="shared" si="58"/>
        <v>18.999999999002526</v>
      </c>
      <c r="K277" s="37">
        <f t="shared" si="59"/>
        <v>16.556755278474732</v>
      </c>
      <c r="L277" s="39">
        <f t="shared" si="60"/>
        <v>130.23094271980423</v>
      </c>
      <c r="M277" s="117"/>
      <c r="N277" s="38">
        <f t="shared" si="53"/>
        <v>2.1342253613691464</v>
      </c>
      <c r="O277" s="37">
        <f t="shared" si="54"/>
        <v>1.5510204080818388</v>
      </c>
      <c r="P277" s="37">
        <f t="shared" si="55"/>
        <v>1.3515718594673252</v>
      </c>
      <c r="Q277" s="39">
        <f t="shared" si="56"/>
        <v>10.631097364881978</v>
      </c>
    </row>
    <row r="278" spans="2:17" customFormat="1" x14ac:dyDescent="0.25">
      <c r="B278" s="41" t="s">
        <v>1071</v>
      </c>
      <c r="C278" s="3" t="s">
        <v>420</v>
      </c>
      <c r="D278" s="3">
        <v>14.25</v>
      </c>
      <c r="E278" s="3">
        <v>16.736873908083879</v>
      </c>
      <c r="F278" s="3">
        <v>180</v>
      </c>
      <c r="G278" s="4">
        <v>29.85</v>
      </c>
      <c r="H278" s="7"/>
      <c r="I278" s="38">
        <f t="shared" si="57"/>
        <v>28.016560918029199</v>
      </c>
      <c r="J278" s="37">
        <f t="shared" si="58"/>
        <v>20.599999998243931</v>
      </c>
      <c r="K278" s="37">
        <f t="shared" si="59"/>
        <v>18.942794609027224</v>
      </c>
      <c r="L278" s="39">
        <f t="shared" si="60"/>
        <v>160.95966312153701</v>
      </c>
      <c r="M278" s="117"/>
      <c r="N278" s="38">
        <f t="shared" si="53"/>
        <v>1.9660744503880141</v>
      </c>
      <c r="O278" s="37">
        <f t="shared" si="54"/>
        <v>1.4456140349644864</v>
      </c>
      <c r="P278" s="37">
        <f t="shared" si="55"/>
        <v>1.329318919931735</v>
      </c>
      <c r="Q278" s="39">
        <f t="shared" si="56"/>
        <v>11.295414955897334</v>
      </c>
    </row>
    <row r="279" spans="2:17" customFormat="1" x14ac:dyDescent="0.25">
      <c r="B279" s="41" t="s">
        <v>1071</v>
      </c>
      <c r="C279" s="3" t="s">
        <v>421</v>
      </c>
      <c r="D279" s="3">
        <v>13.833333333333334</v>
      </c>
      <c r="E279" s="3">
        <v>17.974455449565152</v>
      </c>
      <c r="F279" s="3">
        <v>180</v>
      </c>
      <c r="G279" s="4">
        <v>30.02</v>
      </c>
      <c r="H279" s="7"/>
      <c r="I279" s="38">
        <f t="shared" si="57"/>
        <v>29.649777936269576</v>
      </c>
      <c r="J279" s="37">
        <f t="shared" si="58"/>
        <v>21.799999998273339</v>
      </c>
      <c r="K279" s="37">
        <f t="shared" si="59"/>
        <v>20.940738023620963</v>
      </c>
      <c r="L279" s="39">
        <f t="shared" si="60"/>
        <v>194.18794223776572</v>
      </c>
      <c r="M279" s="117"/>
      <c r="N279" s="38">
        <f t="shared" si="53"/>
        <v>2.1433574411761138</v>
      </c>
      <c r="O279" s="37">
        <f t="shared" si="54"/>
        <v>1.5759036143330125</v>
      </c>
      <c r="P279" s="37">
        <f t="shared" si="55"/>
        <v>1.513788290864166</v>
      </c>
      <c r="Q279" s="39">
        <f t="shared" si="56"/>
        <v>14.037682571404751</v>
      </c>
    </row>
    <row r="280" spans="2:17" customFormat="1" x14ac:dyDescent="0.25">
      <c r="B280" s="41" t="s">
        <v>1071</v>
      </c>
      <c r="C280" s="3" t="s">
        <v>422</v>
      </c>
      <c r="D280" s="3">
        <v>14.916666666666666</v>
      </c>
      <c r="E280" s="3">
        <v>19.17342946980272</v>
      </c>
      <c r="F280" s="3">
        <v>180</v>
      </c>
      <c r="G280" s="4">
        <v>35.22</v>
      </c>
      <c r="H280" s="7"/>
      <c r="I280" s="38">
        <f t="shared" si="57"/>
        <v>32.712689798503156</v>
      </c>
      <c r="J280" s="37">
        <f t="shared" si="58"/>
        <v>24.119999997727646</v>
      </c>
      <c r="K280" s="37">
        <f t="shared" si="59"/>
        <v>25.114447335705179</v>
      </c>
      <c r="L280" s="39">
        <f t="shared" si="60"/>
        <v>265.99935103119788</v>
      </c>
      <c r="M280" s="117"/>
      <c r="N280" s="38">
        <f t="shared" si="53"/>
        <v>2.1930294836985356</v>
      </c>
      <c r="O280" s="37">
        <f t="shared" si="54"/>
        <v>1.6169832400711273</v>
      </c>
      <c r="P280" s="37">
        <f t="shared" si="55"/>
        <v>1.6836501007176656</v>
      </c>
      <c r="Q280" s="39">
        <f t="shared" si="56"/>
        <v>17.83235872834846</v>
      </c>
    </row>
    <row r="281" spans="2:17" customFormat="1" x14ac:dyDescent="0.25">
      <c r="B281" s="41" t="s">
        <v>1071</v>
      </c>
      <c r="C281" s="3" t="s">
        <v>423</v>
      </c>
      <c r="D281" s="3">
        <v>14.916666666666666</v>
      </c>
      <c r="E281" s="3">
        <v>19.491396791026645</v>
      </c>
      <c r="F281" s="3">
        <v>380</v>
      </c>
      <c r="G281" s="4">
        <v>33.58</v>
      </c>
      <c r="H281" s="7"/>
      <c r="I281" s="38">
        <f t="shared" si="57"/>
        <v>31.879115718012216</v>
      </c>
      <c r="J281" s="37">
        <f t="shared" si="58"/>
        <v>24.519999997689958</v>
      </c>
      <c r="K281" s="37">
        <f t="shared" si="59"/>
        <v>30.695058810478937</v>
      </c>
      <c r="L281" s="39">
        <f t="shared" si="60"/>
        <v>329.17777206516979</v>
      </c>
      <c r="M281" s="117"/>
      <c r="N281" s="38">
        <f t="shared" si="53"/>
        <v>2.1371474224365734</v>
      </c>
      <c r="O281" s="37">
        <f t="shared" si="54"/>
        <v>1.6437988825267011</v>
      </c>
      <c r="P281" s="37">
        <f t="shared" si="55"/>
        <v>2.0577693057304316</v>
      </c>
      <c r="Q281" s="39">
        <f t="shared" si="56"/>
        <v>22.067783602134288</v>
      </c>
    </row>
    <row r="282" spans="2:17" customFormat="1" x14ac:dyDescent="0.25">
      <c r="B282" s="41" t="s">
        <v>1071</v>
      </c>
      <c r="C282" s="3" t="s">
        <v>424</v>
      </c>
      <c r="D282" s="3">
        <v>14.916666666666666</v>
      </c>
      <c r="E282" s="3">
        <v>19.872957576495352</v>
      </c>
      <c r="F282" s="3">
        <v>250</v>
      </c>
      <c r="G282" s="4">
        <v>31.46</v>
      </c>
      <c r="H282" s="7"/>
      <c r="I282" s="38">
        <f t="shared" si="57"/>
        <v>33.503059758334167</v>
      </c>
      <c r="J282" s="37">
        <f t="shared" si="58"/>
        <v>24.999999997644736</v>
      </c>
      <c r="K282" s="37">
        <f t="shared" si="59"/>
        <v>28.587849757762569</v>
      </c>
      <c r="L282" s="39">
        <f t="shared" si="60"/>
        <v>319.12179650827102</v>
      </c>
      <c r="M282" s="117"/>
      <c r="N282" s="38">
        <f t="shared" si="53"/>
        <v>2.2460151793296648</v>
      </c>
      <c r="O282" s="37">
        <f t="shared" si="54"/>
        <v>1.6759776534733901</v>
      </c>
      <c r="P282" s="37">
        <f t="shared" si="55"/>
        <v>1.9165038943751445</v>
      </c>
      <c r="Q282" s="39">
        <f t="shared" si="56"/>
        <v>21.393639989381299</v>
      </c>
    </row>
    <row r="283" spans="2:17" customFormat="1" x14ac:dyDescent="0.25">
      <c r="B283" s="41" t="s">
        <v>1071</v>
      </c>
      <c r="C283" s="3" t="s">
        <v>425</v>
      </c>
      <c r="D283" s="3">
        <v>14.916666666666666</v>
      </c>
      <c r="E283" s="3">
        <v>16.343520310909785</v>
      </c>
      <c r="F283" s="3">
        <v>360</v>
      </c>
      <c r="G283" s="4">
        <v>26.51</v>
      </c>
      <c r="H283" s="7"/>
      <c r="I283" s="38">
        <f t="shared" si="57"/>
        <v>26.848486798827544</v>
      </c>
      <c r="J283" s="37">
        <f t="shared" si="58"/>
        <v>20.559999998063038</v>
      </c>
      <c r="K283" s="37">
        <f t="shared" si="59"/>
        <v>21.974074804170595</v>
      </c>
      <c r="L283" s="39">
        <f t="shared" si="60"/>
        <v>182.33899947219786</v>
      </c>
      <c r="M283" s="117"/>
      <c r="N283" s="38">
        <f t="shared" si="53"/>
        <v>1.7998985563459806</v>
      </c>
      <c r="O283" s="37">
        <f t="shared" si="54"/>
        <v>1.3783240222165165</v>
      </c>
      <c r="P283" s="37">
        <f t="shared" si="55"/>
        <v>1.4731223332404868</v>
      </c>
      <c r="Q283" s="39">
        <f t="shared" si="56"/>
        <v>12.223843540035611</v>
      </c>
    </row>
    <row r="284" spans="2:17" customFormat="1" x14ac:dyDescent="0.25">
      <c r="B284" s="41" t="s">
        <v>1071</v>
      </c>
      <c r="C284" s="3" t="s">
        <v>426</v>
      </c>
      <c r="D284" s="3">
        <v>13.666666666666666</v>
      </c>
      <c r="E284" s="3">
        <v>22.399018895876981</v>
      </c>
      <c r="F284" s="3">
        <v>200</v>
      </c>
      <c r="G284" s="4">
        <v>33.11</v>
      </c>
      <c r="H284" s="7"/>
      <c r="I284" s="38">
        <f t="shared" si="57"/>
        <v>37.613883209131991</v>
      </c>
      <c r="J284" s="37">
        <f t="shared" si="58"/>
        <v>26.99999999792951</v>
      </c>
      <c r="K284" s="37">
        <f t="shared" si="59"/>
        <v>32.93165346145225</v>
      </c>
      <c r="L284" s="39">
        <f t="shared" si="60"/>
        <v>435.63526124785449</v>
      </c>
      <c r="M284" s="117"/>
      <c r="N284" s="38">
        <f t="shared" si="53"/>
        <v>2.7522353567657554</v>
      </c>
      <c r="O284" s="37">
        <f t="shared" si="54"/>
        <v>1.9756097559460619</v>
      </c>
      <c r="P284" s="37">
        <f t="shared" si="55"/>
        <v>2.4096331801062623</v>
      </c>
      <c r="Q284" s="39">
        <f t="shared" si="56"/>
        <v>31.875750823013746</v>
      </c>
    </row>
    <row r="285" spans="2:17" customFormat="1" x14ac:dyDescent="0.25">
      <c r="B285" s="41" t="s">
        <v>1071</v>
      </c>
      <c r="C285" s="3" t="s">
        <v>427</v>
      </c>
      <c r="D285" s="3">
        <v>14.666666666666666</v>
      </c>
      <c r="E285" s="3">
        <v>17.724064057045155</v>
      </c>
      <c r="F285" s="3">
        <v>280</v>
      </c>
      <c r="G285" s="4">
        <v>26.96</v>
      </c>
      <c r="H285" s="7"/>
      <c r="I285" s="38">
        <f t="shared" si="57"/>
        <v>29.314517202976596</v>
      </c>
      <c r="J285" s="37">
        <f t="shared" si="58"/>
        <v>22.119999997988302</v>
      </c>
      <c r="K285" s="37">
        <f t="shared" si="59"/>
        <v>23.297980821315974</v>
      </c>
      <c r="L285" s="39">
        <f t="shared" si="60"/>
        <v>216.01346665081525</v>
      </c>
      <c r="M285" s="117"/>
      <c r="N285" s="38">
        <f t="shared" si="53"/>
        <v>1.9987170820211315</v>
      </c>
      <c r="O285" s="37">
        <f t="shared" si="54"/>
        <v>1.5081818180446569</v>
      </c>
      <c r="P285" s="37">
        <f t="shared" si="55"/>
        <v>1.5884986923624529</v>
      </c>
      <c r="Q285" s="39">
        <f t="shared" si="56"/>
        <v>14.728190908010131</v>
      </c>
    </row>
    <row r="286" spans="2:17" customFormat="1" x14ac:dyDescent="0.25">
      <c r="B286" s="41" t="s">
        <v>1071</v>
      </c>
      <c r="C286" s="3" t="s">
        <v>428</v>
      </c>
      <c r="D286" s="3">
        <v>13.583333333333334</v>
      </c>
      <c r="E286" s="3">
        <v>17.858808279614198</v>
      </c>
      <c r="F286" s="3">
        <v>440</v>
      </c>
      <c r="G286" s="4">
        <v>22.82</v>
      </c>
      <c r="H286" s="7"/>
      <c r="I286" s="38">
        <f t="shared" si="57"/>
        <v>27.615841159277732</v>
      </c>
      <c r="J286" s="37">
        <f t="shared" si="58"/>
        <v>21.459999998381878</v>
      </c>
      <c r="K286" s="37">
        <f t="shared" si="59"/>
        <v>25.375715949319233</v>
      </c>
      <c r="L286" s="39">
        <f t="shared" si="60"/>
        <v>227.00536462383633</v>
      </c>
      <c r="M286" s="117"/>
      <c r="N286" s="38">
        <f t="shared" si="53"/>
        <v>2.0330680608057223</v>
      </c>
      <c r="O286" s="37">
        <f t="shared" si="54"/>
        <v>1.5798773004943714</v>
      </c>
      <c r="P286" s="37">
        <f t="shared" si="55"/>
        <v>1.8681508674345446</v>
      </c>
      <c r="Q286" s="39">
        <f t="shared" si="56"/>
        <v>16.712051383349912</v>
      </c>
    </row>
    <row r="287" spans="2:17" customFormat="1" x14ac:dyDescent="0.25">
      <c r="B287" s="41" t="s">
        <v>1071</v>
      </c>
      <c r="C287" s="3" t="s">
        <v>429</v>
      </c>
      <c r="D287" s="3">
        <v>13.666666666666666</v>
      </c>
      <c r="E287" s="3">
        <v>15.861823751450665</v>
      </c>
      <c r="F287" s="3">
        <v>200</v>
      </c>
      <c r="G287" s="4">
        <v>21.51</v>
      </c>
      <c r="H287" s="7"/>
      <c r="I287" s="38">
        <f t="shared" si="57"/>
        <v>26.092891177892103</v>
      </c>
      <c r="J287" s="37">
        <f t="shared" si="58"/>
        <v>19.119999998533789</v>
      </c>
      <c r="K287" s="37">
        <f t="shared" si="59"/>
        <v>17.036100996892941</v>
      </c>
      <c r="L287" s="39">
        <f t="shared" si="60"/>
        <v>131.92379490566216</v>
      </c>
      <c r="M287" s="117"/>
      <c r="N287" s="38">
        <f t="shared" si="53"/>
        <v>1.9092359398457637</v>
      </c>
      <c r="O287" s="37">
        <f t="shared" si="54"/>
        <v>1.3990243901366188</v>
      </c>
      <c r="P287" s="37">
        <f t="shared" si="55"/>
        <v>1.2465439753824104</v>
      </c>
      <c r="Q287" s="39">
        <f t="shared" si="56"/>
        <v>9.6529606028533301</v>
      </c>
    </row>
    <row r="288" spans="2:17" customFormat="1" x14ac:dyDescent="0.25">
      <c r="B288" s="41" t="s">
        <v>1071</v>
      </c>
      <c r="C288" s="3" t="s">
        <v>430</v>
      </c>
      <c r="D288" s="3">
        <v>14.666666666666666</v>
      </c>
      <c r="E288" s="3">
        <v>20.832986685496117</v>
      </c>
      <c r="F288" s="3">
        <v>380</v>
      </c>
      <c r="G288" s="4">
        <v>30.38</v>
      </c>
      <c r="H288" s="7"/>
      <c r="I288" s="38">
        <f t="shared" si="57"/>
        <v>34.130974653494846</v>
      </c>
      <c r="J288" s="37">
        <f t="shared" si="58"/>
        <v>25.999999997635442</v>
      </c>
      <c r="K288" s="37">
        <f t="shared" si="59"/>
        <v>34.678420398148546</v>
      </c>
      <c r="L288" s="39">
        <f t="shared" si="60"/>
        <v>411.97094984515576</v>
      </c>
      <c r="M288" s="117"/>
      <c r="N288" s="38">
        <f t="shared" si="53"/>
        <v>2.3271119081928306</v>
      </c>
      <c r="O288" s="37">
        <f t="shared" si="54"/>
        <v>1.772727272566053</v>
      </c>
      <c r="P288" s="37">
        <f t="shared" si="55"/>
        <v>2.3644377544192192</v>
      </c>
      <c r="Q288" s="39">
        <f t="shared" si="56"/>
        <v>28.088928398533348</v>
      </c>
    </row>
    <row r="289" spans="2:17" customFormat="1" x14ac:dyDescent="0.25">
      <c r="B289" s="41" t="s">
        <v>1071</v>
      </c>
      <c r="C289" s="3" t="s">
        <v>431</v>
      </c>
      <c r="D289" s="3">
        <v>12.25</v>
      </c>
      <c r="E289" s="3">
        <v>18.33803351480006</v>
      </c>
      <c r="F289" s="3">
        <v>200</v>
      </c>
      <c r="G289" s="4">
        <v>23.5</v>
      </c>
      <c r="H289" s="7"/>
      <c r="I289" s="38">
        <f t="shared" si="57"/>
        <v>28.49836831151973</v>
      </c>
      <c r="J289" s="37">
        <f t="shared" si="58"/>
        <v>20.839999998905935</v>
      </c>
      <c r="K289" s="37">
        <f t="shared" si="59"/>
        <v>19.82406116345339</v>
      </c>
      <c r="L289" s="39">
        <f t="shared" si="60"/>
        <v>177.80308393056771</v>
      </c>
      <c r="M289" s="117"/>
      <c r="N289" s="38">
        <f t="shared" si="53"/>
        <v>2.3263974131852843</v>
      </c>
      <c r="O289" s="37">
        <f t="shared" si="54"/>
        <v>1.7012244897066069</v>
      </c>
      <c r="P289" s="37">
        <f t="shared" si="55"/>
        <v>1.6182907072206849</v>
      </c>
      <c r="Q289" s="39">
        <f t="shared" si="56"/>
        <v>14.514537463719813</v>
      </c>
    </row>
    <row r="290" spans="2:17" customFormat="1" x14ac:dyDescent="0.25">
      <c r="B290" s="41" t="s">
        <v>1071</v>
      </c>
      <c r="C290" s="3" t="s">
        <v>432</v>
      </c>
      <c r="D290" s="3">
        <v>8.9166666666666661</v>
      </c>
      <c r="E290" s="3">
        <v>18.500799404814909</v>
      </c>
      <c r="F290" s="3">
        <v>500</v>
      </c>
      <c r="G290" s="4">
        <v>22.66</v>
      </c>
      <c r="H290" s="7"/>
      <c r="I290" s="38">
        <f t="shared" si="57"/>
        <v>22.465881108900419</v>
      </c>
      <c r="J290" s="37">
        <f t="shared" si="58"/>
        <v>17.000000000590351</v>
      </c>
      <c r="K290" s="37">
        <f t="shared" si="59"/>
        <v>18.218390938873988</v>
      </c>
      <c r="L290" s="39">
        <f t="shared" si="60"/>
        <v>132.60727243532034</v>
      </c>
      <c r="M290" s="117"/>
      <c r="N290" s="38">
        <f t="shared" si="53"/>
        <v>2.5195380682878974</v>
      </c>
      <c r="O290" s="37">
        <f t="shared" si="54"/>
        <v>1.9065420561409741</v>
      </c>
      <c r="P290" s="37">
        <f t="shared" si="55"/>
        <v>2.0431840305279239</v>
      </c>
      <c r="Q290" s="39">
        <f t="shared" si="56"/>
        <v>14.87184363760602</v>
      </c>
    </row>
    <row r="291" spans="2:17" customFormat="1" x14ac:dyDescent="0.25">
      <c r="B291" s="41" t="s">
        <v>1071</v>
      </c>
      <c r="C291" s="3" t="s">
        <v>433</v>
      </c>
      <c r="D291" s="3">
        <v>11</v>
      </c>
      <c r="E291" s="3">
        <v>17.421519272341442</v>
      </c>
      <c r="F291" s="3">
        <v>640</v>
      </c>
      <c r="G291" s="4">
        <v>22.73</v>
      </c>
      <c r="H291" s="7"/>
      <c r="I291" s="38">
        <f t="shared" si="57"/>
        <v>23.277000729626952</v>
      </c>
      <c r="J291" s="37">
        <f t="shared" si="58"/>
        <v>18.559999999517732</v>
      </c>
      <c r="K291" s="37">
        <f t="shared" si="59"/>
        <v>23.520467967584441</v>
      </c>
      <c r="L291" s="39">
        <f t="shared" si="60"/>
        <v>178.63214846393495</v>
      </c>
      <c r="M291" s="117"/>
      <c r="N291" s="38">
        <f t="shared" si="53"/>
        <v>2.1160909754206321</v>
      </c>
      <c r="O291" s="37">
        <f t="shared" si="54"/>
        <v>1.6872727272288848</v>
      </c>
      <c r="P291" s="37">
        <f t="shared" si="55"/>
        <v>2.1382243606894948</v>
      </c>
      <c r="Q291" s="39">
        <f t="shared" si="56"/>
        <v>16.239286223994085</v>
      </c>
    </row>
    <row r="292" spans="2:17" customFormat="1" x14ac:dyDescent="0.25">
      <c r="B292" s="41" t="s">
        <v>1071</v>
      </c>
      <c r="C292" s="3" t="s">
        <v>434</v>
      </c>
      <c r="D292" s="3">
        <v>10.333333333333334</v>
      </c>
      <c r="E292" s="3">
        <v>15.644611251006905</v>
      </c>
      <c r="F292" s="3">
        <v>620</v>
      </c>
      <c r="G292" s="4">
        <v>20.94</v>
      </c>
      <c r="H292" s="7"/>
      <c r="I292" s="38">
        <f t="shared" si="57"/>
        <v>20.440676099303264</v>
      </c>
      <c r="J292" s="37">
        <f t="shared" si="58"/>
        <v>15.999999999852475</v>
      </c>
      <c r="K292" s="37">
        <f t="shared" si="59"/>
        <v>18.062988220192352</v>
      </c>
      <c r="L292" s="39">
        <f t="shared" si="60"/>
        <v>114.24617160369618</v>
      </c>
      <c r="M292" s="117"/>
      <c r="N292" s="38">
        <f t="shared" si="53"/>
        <v>1.9781299450938641</v>
      </c>
      <c r="O292" s="37">
        <f t="shared" si="54"/>
        <v>1.5483870967599169</v>
      </c>
      <c r="P292" s="37">
        <f t="shared" si="55"/>
        <v>1.7480311180831307</v>
      </c>
      <c r="Q292" s="39">
        <f t="shared" si="56"/>
        <v>11.056081122938339</v>
      </c>
    </row>
    <row r="293" spans="2:17" customFormat="1" x14ac:dyDescent="0.25">
      <c r="B293" s="41" t="s">
        <v>1071</v>
      </c>
      <c r="C293" s="3" t="s">
        <v>435</v>
      </c>
      <c r="D293" s="3">
        <v>5.5</v>
      </c>
      <c r="E293" s="3">
        <v>16.829238458473267</v>
      </c>
      <c r="F293" s="3">
        <v>1160</v>
      </c>
      <c r="G293" s="4">
        <v>10.47</v>
      </c>
      <c r="H293" s="7"/>
      <c r="I293" s="38">
        <f t="shared" si="57"/>
        <v>11.706269367041619</v>
      </c>
      <c r="J293" s="37">
        <f t="shared" si="58"/>
        <v>9.5200000022263236</v>
      </c>
      <c r="K293" s="37">
        <f t="shared" si="59"/>
        <v>11.972671441445851</v>
      </c>
      <c r="L293" s="39">
        <f t="shared" si="60"/>
        <v>45.841625731725848</v>
      </c>
      <c r="M293" s="117"/>
      <c r="N293" s="38">
        <f t="shared" si="53"/>
        <v>2.1284126121893854</v>
      </c>
      <c r="O293" s="37">
        <f t="shared" si="54"/>
        <v>1.7309090913138769</v>
      </c>
      <c r="P293" s="37">
        <f t="shared" si="55"/>
        <v>2.1768493529901547</v>
      </c>
      <c r="Q293" s="39">
        <f t="shared" si="56"/>
        <v>8.3348410421319716</v>
      </c>
    </row>
    <row r="294" spans="2:17" customFormat="1" x14ac:dyDescent="0.25">
      <c r="B294" s="41" t="s">
        <v>1071</v>
      </c>
      <c r="C294" s="3" t="s">
        <v>436</v>
      </c>
      <c r="D294" s="3">
        <v>4.333333333333333</v>
      </c>
      <c r="E294" s="3">
        <v>13.075154108129675</v>
      </c>
      <c r="F294" s="3">
        <v>1120</v>
      </c>
      <c r="G294" s="4">
        <v>5.73</v>
      </c>
      <c r="H294" s="7"/>
      <c r="I294" s="38">
        <f t="shared" si="57"/>
        <v>7.1535185908750769</v>
      </c>
      <c r="J294" s="37">
        <f t="shared" si="58"/>
        <v>5.2600000019660396</v>
      </c>
      <c r="K294" s="37">
        <f t="shared" si="59"/>
        <v>4.4948398188145209</v>
      </c>
      <c r="L294" s="39">
        <f t="shared" si="60"/>
        <v>9.1805162370703908</v>
      </c>
      <c r="M294" s="117"/>
      <c r="N294" s="38">
        <f t="shared" si="53"/>
        <v>1.6508119825096332</v>
      </c>
      <c r="O294" s="37">
        <f t="shared" si="54"/>
        <v>1.2138461542998553</v>
      </c>
      <c r="P294" s="37">
        <f t="shared" si="55"/>
        <v>1.0372707274187356</v>
      </c>
      <c r="Q294" s="39">
        <f t="shared" si="56"/>
        <v>2.1185806700931673</v>
      </c>
    </row>
    <row r="295" spans="2:17" customFormat="1" x14ac:dyDescent="0.25">
      <c r="B295" s="41" t="s">
        <v>1071</v>
      </c>
      <c r="C295" s="3" t="s">
        <v>437</v>
      </c>
      <c r="D295" s="3">
        <v>4.333333333333333</v>
      </c>
      <c r="E295" s="3">
        <v>11.981414981213884</v>
      </c>
      <c r="F295" s="3">
        <v>920</v>
      </c>
      <c r="G295" s="4">
        <v>6.07</v>
      </c>
      <c r="H295" s="7"/>
      <c r="I295" s="38">
        <f t="shared" si="57"/>
        <v>7.0288091659454421</v>
      </c>
      <c r="J295" s="37">
        <f t="shared" si="58"/>
        <v>4.8200000018015796</v>
      </c>
      <c r="K295" s="37">
        <f t="shared" si="59"/>
        <v>3.4009539706899106</v>
      </c>
      <c r="L295" s="39">
        <f t="shared" si="60"/>
        <v>6.4379999488408215</v>
      </c>
      <c r="M295" s="117"/>
      <c r="N295" s="38">
        <f t="shared" si="53"/>
        <v>1.6220328844489482</v>
      </c>
      <c r="O295" s="37">
        <f t="shared" si="54"/>
        <v>1.1123076927234414</v>
      </c>
      <c r="P295" s="37">
        <f t="shared" si="55"/>
        <v>0.78483553169767173</v>
      </c>
      <c r="Q295" s="39">
        <f t="shared" si="56"/>
        <v>1.4856922958863434</v>
      </c>
    </row>
    <row r="296" spans="2:17" customFormat="1" x14ac:dyDescent="0.25">
      <c r="B296" s="41" t="s">
        <v>1071</v>
      </c>
      <c r="C296" s="3" t="s">
        <v>438</v>
      </c>
      <c r="D296" s="3">
        <v>5.583333333333333</v>
      </c>
      <c r="E296" s="3">
        <v>19.081550005195261</v>
      </c>
      <c r="F296" s="3">
        <v>960</v>
      </c>
      <c r="G296" s="4">
        <v>16.04</v>
      </c>
      <c r="H296" s="7"/>
      <c r="I296" s="38">
        <f t="shared" si="57"/>
        <v>14.09570725731955</v>
      </c>
      <c r="J296" s="37">
        <f t="shared" si="58"/>
        <v>11.000000002487111</v>
      </c>
      <c r="K296" s="37">
        <f t="shared" si="59"/>
        <v>13.099457897977627</v>
      </c>
      <c r="L296" s="39">
        <f t="shared" si="60"/>
        <v>62.250781650381342</v>
      </c>
      <c r="M296" s="117"/>
      <c r="N296" s="38">
        <f t="shared" si="53"/>
        <v>2.5246042848930537</v>
      </c>
      <c r="O296" s="37">
        <f t="shared" si="54"/>
        <v>1.9701492541767962</v>
      </c>
      <c r="P296" s="37">
        <f t="shared" si="55"/>
        <v>2.3461715638168887</v>
      </c>
      <c r="Q296" s="39">
        <f t="shared" si="56"/>
        <v>11.14939372842651</v>
      </c>
    </row>
    <row r="297" spans="2:17" customFormat="1" x14ac:dyDescent="0.25">
      <c r="B297" s="41" t="s">
        <v>1071</v>
      </c>
      <c r="C297" s="3" t="s">
        <v>439</v>
      </c>
      <c r="D297" s="3">
        <v>5.583333333333333</v>
      </c>
      <c r="E297" s="3">
        <v>19.775424550838721</v>
      </c>
      <c r="F297" s="3">
        <v>1120</v>
      </c>
      <c r="G297" s="4">
        <v>16.260000000000002</v>
      </c>
      <c r="H297" s="7"/>
      <c r="I297" s="38">
        <f t="shared" si="57"/>
        <v>14.151317437816893</v>
      </c>
      <c r="J297" s="37">
        <f t="shared" si="58"/>
        <v>11.400000002577551</v>
      </c>
      <c r="K297" s="37">
        <f t="shared" si="59"/>
        <v>16.077316425027821</v>
      </c>
      <c r="L297" s="39">
        <f t="shared" si="60"/>
        <v>79.995225438278325</v>
      </c>
      <c r="M297" s="117"/>
      <c r="N297" s="38">
        <f t="shared" si="53"/>
        <v>2.5345643172209362</v>
      </c>
      <c r="O297" s="37">
        <f t="shared" si="54"/>
        <v>2.0417910452377703</v>
      </c>
      <c r="P297" s="37">
        <f t="shared" si="55"/>
        <v>2.8795193597064754</v>
      </c>
      <c r="Q297" s="39">
        <f t="shared" si="56"/>
        <v>14.327503063572237</v>
      </c>
    </row>
    <row r="298" spans="2:17" customFormat="1" x14ac:dyDescent="0.25">
      <c r="B298" s="41" t="s">
        <v>1071</v>
      </c>
      <c r="C298" s="3" t="s">
        <v>440</v>
      </c>
      <c r="D298" s="3">
        <v>5.583333333333333</v>
      </c>
      <c r="E298" s="3">
        <v>19.601955914427858</v>
      </c>
      <c r="F298" s="3">
        <v>1000</v>
      </c>
      <c r="G298" s="4">
        <v>14.74</v>
      </c>
      <c r="H298" s="7"/>
      <c r="I298" s="38">
        <f t="shared" si="57"/>
        <v>14.386113038862115</v>
      </c>
      <c r="J298" s="37">
        <f t="shared" si="58"/>
        <v>11.30000000255494</v>
      </c>
      <c r="K298" s="37">
        <f t="shared" si="59"/>
        <v>14.278568867175107</v>
      </c>
      <c r="L298" s="39">
        <f t="shared" si="60"/>
        <v>70.616793616034983</v>
      </c>
      <c r="M298" s="117"/>
      <c r="N298" s="38">
        <f t="shared" si="53"/>
        <v>2.5766172606917221</v>
      </c>
      <c r="O298" s="37">
        <f t="shared" si="54"/>
        <v>2.0238805974725267</v>
      </c>
      <c r="P298" s="37">
        <f t="shared" si="55"/>
        <v>2.557355618001512</v>
      </c>
      <c r="Q298" s="39">
        <f t="shared" si="56"/>
        <v>12.647783931230148</v>
      </c>
    </row>
    <row r="299" spans="2:17" customFormat="1" x14ac:dyDescent="0.25">
      <c r="B299" s="41" t="s">
        <v>1071</v>
      </c>
      <c r="C299" s="3" t="s">
        <v>441</v>
      </c>
      <c r="D299" s="3">
        <v>5.583333333333333</v>
      </c>
      <c r="E299" s="3">
        <v>19.255018641606124</v>
      </c>
      <c r="F299" s="3">
        <v>1120</v>
      </c>
      <c r="G299" s="4">
        <v>15.83</v>
      </c>
      <c r="H299" s="7"/>
      <c r="I299" s="38">
        <f t="shared" si="57"/>
        <v>13.745268518123829</v>
      </c>
      <c r="J299" s="37">
        <f t="shared" si="58"/>
        <v>11.10000000250972</v>
      </c>
      <c r="K299" s="37">
        <f t="shared" si="59"/>
        <v>15.255505828753293</v>
      </c>
      <c r="L299" s="39">
        <f t="shared" si="60"/>
        <v>72.738444623242899</v>
      </c>
      <c r="M299" s="117"/>
      <c r="N299" s="38">
        <f t="shared" si="53"/>
        <v>2.4618391375744175</v>
      </c>
      <c r="O299" s="37">
        <f t="shared" si="54"/>
        <v>1.9880597019420396</v>
      </c>
      <c r="P299" s="37">
        <f t="shared" si="55"/>
        <v>2.732329402164769</v>
      </c>
      <c r="Q299" s="39">
        <f t="shared" si="56"/>
        <v>13.027781126550968</v>
      </c>
    </row>
    <row r="300" spans="2:17" customFormat="1" x14ac:dyDescent="0.25">
      <c r="B300" s="41" t="s">
        <v>1071</v>
      </c>
      <c r="C300" s="3" t="s">
        <v>442</v>
      </c>
      <c r="D300" s="3">
        <v>4.333333333333333</v>
      </c>
      <c r="E300" s="3">
        <v>11.036822098877522</v>
      </c>
      <c r="F300" s="3">
        <v>1080</v>
      </c>
      <c r="G300" s="4">
        <v>4.7300000000000004</v>
      </c>
      <c r="H300" s="7"/>
      <c r="I300" s="38">
        <f t="shared" si="57"/>
        <v>6.4384893439423756</v>
      </c>
      <c r="J300" s="37">
        <f t="shared" si="58"/>
        <v>4.4400000016595467</v>
      </c>
      <c r="K300" s="37">
        <f t="shared" si="59"/>
        <v>3.5384871735700587</v>
      </c>
      <c r="L300" s="39">
        <f t="shared" si="60"/>
        <v>6.1325263871804578</v>
      </c>
      <c r="M300" s="117"/>
      <c r="N300" s="38">
        <f t="shared" si="53"/>
        <v>1.4858052332174714</v>
      </c>
      <c r="O300" s="37">
        <f t="shared" si="54"/>
        <v>1.024615384998357</v>
      </c>
      <c r="P300" s="37">
        <f t="shared" si="55"/>
        <v>0.81657396313155206</v>
      </c>
      <c r="Q300" s="39">
        <f t="shared" si="56"/>
        <v>1.4151983970416442</v>
      </c>
    </row>
    <row r="301" spans="2:17" customFormat="1" x14ac:dyDescent="0.25">
      <c r="B301" s="41" t="s">
        <v>1071</v>
      </c>
      <c r="C301" s="3" t="s">
        <v>443</v>
      </c>
      <c r="D301" s="3">
        <v>5.583333333333333</v>
      </c>
      <c r="E301" s="3">
        <v>15.95911454979967</v>
      </c>
      <c r="F301" s="3">
        <v>1080</v>
      </c>
      <c r="G301" s="4">
        <v>13.62</v>
      </c>
      <c r="H301" s="7"/>
      <c r="I301" s="38">
        <f t="shared" si="57"/>
        <v>11.530917365969779</v>
      </c>
      <c r="J301" s="37">
        <f t="shared" si="58"/>
        <v>9.2000000020801274</v>
      </c>
      <c r="K301" s="37">
        <f t="shared" si="59"/>
        <v>10.579493348284597</v>
      </c>
      <c r="L301" s="39">
        <f t="shared" si="60"/>
        <v>38.61302776994269</v>
      </c>
      <c r="M301" s="117"/>
      <c r="N301" s="38">
        <f t="shared" si="53"/>
        <v>2.065238931218468</v>
      </c>
      <c r="O301" s="37">
        <f t="shared" si="54"/>
        <v>1.6477611944024109</v>
      </c>
      <c r="P301" s="37">
        <f t="shared" si="55"/>
        <v>1.8948346295435099</v>
      </c>
      <c r="Q301" s="39">
        <f t="shared" si="56"/>
        <v>6.9157661677509301</v>
      </c>
    </row>
    <row r="302" spans="2:17" customFormat="1" x14ac:dyDescent="0.25">
      <c r="B302" s="41" t="s">
        <v>1071</v>
      </c>
      <c r="C302" s="3" t="s">
        <v>444</v>
      </c>
      <c r="D302" s="3">
        <v>5.5</v>
      </c>
      <c r="E302" s="3">
        <v>19.975881783692007</v>
      </c>
      <c r="F302" s="3">
        <v>1000</v>
      </c>
      <c r="G302" s="4">
        <v>14.66</v>
      </c>
      <c r="H302" s="7"/>
      <c r="I302" s="38">
        <f t="shared" si="57"/>
        <v>14.454954231238153</v>
      </c>
      <c r="J302" s="37">
        <f t="shared" si="58"/>
        <v>11.300000002642589</v>
      </c>
      <c r="K302" s="37">
        <f t="shared" si="59"/>
        <v>14.367959498873427</v>
      </c>
      <c r="L302" s="39">
        <f t="shared" si="60"/>
        <v>71.96627106367032</v>
      </c>
      <c r="M302" s="117"/>
      <c r="N302" s="38">
        <f t="shared" si="53"/>
        <v>2.6281734965887549</v>
      </c>
      <c r="O302" s="37">
        <f t="shared" si="54"/>
        <v>2.0545454550259254</v>
      </c>
      <c r="P302" s="37">
        <f t="shared" si="55"/>
        <v>2.6123562725224412</v>
      </c>
      <c r="Q302" s="39">
        <f t="shared" si="56"/>
        <v>13.084776557030967</v>
      </c>
    </row>
    <row r="303" spans="2:17" customFormat="1" x14ac:dyDescent="0.25">
      <c r="B303" s="41" t="s">
        <v>1071</v>
      </c>
      <c r="C303" s="3" t="s">
        <v>445</v>
      </c>
      <c r="D303" s="3">
        <v>5.583333333333333</v>
      </c>
      <c r="E303" s="3">
        <v>19.081550005195261</v>
      </c>
      <c r="F303" s="3">
        <v>1220</v>
      </c>
      <c r="G303" s="4">
        <v>13.35</v>
      </c>
      <c r="H303" s="7"/>
      <c r="I303" s="38">
        <f t="shared" si="57"/>
        <v>13.318982871450382</v>
      </c>
      <c r="J303" s="37">
        <f t="shared" si="58"/>
        <v>11.000000002487111</v>
      </c>
      <c r="K303" s="37">
        <f t="shared" si="59"/>
        <v>16.309550353918898</v>
      </c>
      <c r="L303" s="39">
        <f t="shared" si="60"/>
        <v>76.14741190023102</v>
      </c>
      <c r="M303" s="117"/>
      <c r="N303" s="38">
        <f t="shared" si="53"/>
        <v>2.3854894695135016</v>
      </c>
      <c r="O303" s="37">
        <f t="shared" si="54"/>
        <v>1.9701492541767962</v>
      </c>
      <c r="P303" s="37">
        <f t="shared" si="55"/>
        <v>2.9211134962242804</v>
      </c>
      <c r="Q303" s="39">
        <f t="shared" si="56"/>
        <v>13.638342429892123</v>
      </c>
    </row>
    <row r="304" spans="2:17" customFormat="1" x14ac:dyDescent="0.25">
      <c r="B304" s="41" t="s">
        <v>1071</v>
      </c>
      <c r="C304" s="3" t="s">
        <v>446</v>
      </c>
      <c r="D304" s="3">
        <v>5.5</v>
      </c>
      <c r="E304" s="3">
        <v>16.086772055893562</v>
      </c>
      <c r="F304" s="3">
        <v>1060</v>
      </c>
      <c r="G304" s="4">
        <v>9.75</v>
      </c>
      <c r="H304" s="7"/>
      <c r="I304" s="38">
        <f t="shared" ref="I304:I335" si="61">EXP(2.853221 -5.94932/D304+ 0.055943*E304-0.000218*F304)</f>
        <v>11.477501681764549</v>
      </c>
      <c r="J304" s="37">
        <f t="shared" ref="J304:J335" si="62">EXP(LN(E304) -6.96328 * (1/D304- 0.1))</f>
        <v>9.1000000021280982</v>
      </c>
      <c r="K304" s="37">
        <f t="shared" ref="K304:K335" si="63">EXP(1.91575 -11.592777/D304+ 0.100823*E304+ 0.000843*F304)</f>
        <v>10.211034840546093</v>
      </c>
      <c r="L304" s="39">
        <f t="shared" ref="L304:L335" si="64">EXP(3.160695 -18.203956/D304+ 0.182736*E304+ 0.000775*F304)</f>
        <v>37.040695869964345</v>
      </c>
      <c r="M304" s="117"/>
      <c r="N304" s="38">
        <f t="shared" si="53"/>
        <v>2.0868184875935545</v>
      </c>
      <c r="O304" s="37">
        <f t="shared" si="54"/>
        <v>1.6545454549323815</v>
      </c>
      <c r="P304" s="37">
        <f t="shared" si="55"/>
        <v>1.8565517891901988</v>
      </c>
      <c r="Q304" s="39">
        <f t="shared" si="56"/>
        <v>6.7346719763571539</v>
      </c>
    </row>
    <row r="305" spans="2:17" customFormat="1" x14ac:dyDescent="0.25">
      <c r="B305" s="41" t="s">
        <v>1071</v>
      </c>
      <c r="C305" s="3" t="s">
        <v>447</v>
      </c>
      <c r="D305" s="3">
        <v>5.5</v>
      </c>
      <c r="E305" s="3">
        <v>10.182396378235923</v>
      </c>
      <c r="F305" s="3">
        <v>1080</v>
      </c>
      <c r="G305" s="4">
        <v>8.2799999999999994</v>
      </c>
      <c r="H305" s="7"/>
      <c r="I305" s="38">
        <f t="shared" si="61"/>
        <v>8.2130163469665671</v>
      </c>
      <c r="J305" s="37">
        <f t="shared" si="62"/>
        <v>5.7600000013470165</v>
      </c>
      <c r="K305" s="37">
        <f t="shared" si="63"/>
        <v>5.7260853581372295</v>
      </c>
      <c r="L305" s="39">
        <f t="shared" si="64"/>
        <v>12.788869249819651</v>
      </c>
      <c r="M305" s="117"/>
      <c r="N305" s="38">
        <f t="shared" si="53"/>
        <v>1.4932756994484668</v>
      </c>
      <c r="O305" s="37">
        <f t="shared" si="54"/>
        <v>1.0472727275176394</v>
      </c>
      <c r="P305" s="37">
        <f t="shared" si="55"/>
        <v>1.0411064287522236</v>
      </c>
      <c r="Q305" s="39">
        <f t="shared" si="56"/>
        <v>2.3252489545126638</v>
      </c>
    </row>
    <row r="306" spans="2:17" customFormat="1" x14ac:dyDescent="0.25">
      <c r="B306" s="41" t="s">
        <v>1071</v>
      </c>
      <c r="C306" s="3" t="s">
        <v>448</v>
      </c>
      <c r="D306" s="3">
        <v>5.5</v>
      </c>
      <c r="E306" s="3">
        <v>11.066284952735574</v>
      </c>
      <c r="F306" s="3">
        <v>920</v>
      </c>
      <c r="G306" s="4">
        <v>9.52</v>
      </c>
      <c r="H306" s="7"/>
      <c r="I306" s="38">
        <f t="shared" si="61"/>
        <v>8.9356387417065939</v>
      </c>
      <c r="J306" s="37">
        <f t="shared" si="62"/>
        <v>6.2600000014639479</v>
      </c>
      <c r="K306" s="37">
        <f t="shared" si="63"/>
        <v>5.4699441788917929</v>
      </c>
      <c r="L306" s="39">
        <f t="shared" si="64"/>
        <v>13.277799968542148</v>
      </c>
      <c r="M306" s="117"/>
      <c r="N306" s="38">
        <f t="shared" si="53"/>
        <v>1.6246615894011989</v>
      </c>
      <c r="O306" s="37">
        <f t="shared" si="54"/>
        <v>1.1381818184479906</v>
      </c>
      <c r="P306" s="37">
        <f t="shared" si="55"/>
        <v>0.99453530525305323</v>
      </c>
      <c r="Q306" s="39">
        <f t="shared" si="56"/>
        <v>2.4141454488258449</v>
      </c>
    </row>
    <row r="307" spans="2:17" customFormat="1" x14ac:dyDescent="0.25">
      <c r="B307" s="41" t="s">
        <v>1071</v>
      </c>
      <c r="C307" s="3" t="s">
        <v>449</v>
      </c>
      <c r="D307" s="3">
        <v>5.583333333333333</v>
      </c>
      <c r="E307" s="3">
        <v>15.091771367745336</v>
      </c>
      <c r="F307" s="3">
        <v>1120</v>
      </c>
      <c r="G307" s="4">
        <v>9.18</v>
      </c>
      <c r="H307" s="7"/>
      <c r="I307" s="38">
        <f t="shared" si="61"/>
        <v>10.889403004072646</v>
      </c>
      <c r="J307" s="37">
        <f t="shared" si="62"/>
        <v>8.7000000019670765</v>
      </c>
      <c r="K307" s="37">
        <f t="shared" si="63"/>
        <v>10.02607697102197</v>
      </c>
      <c r="L307" s="39">
        <f t="shared" si="64"/>
        <v>33.990970057767619</v>
      </c>
      <c r="M307" s="117"/>
      <c r="N307" s="38">
        <f t="shared" si="53"/>
        <v>1.9503408365503248</v>
      </c>
      <c r="O307" s="37">
        <f t="shared" si="54"/>
        <v>1.5582089555761929</v>
      </c>
      <c r="P307" s="37">
        <f t="shared" si="55"/>
        <v>1.7957152783919947</v>
      </c>
      <c r="Q307" s="39">
        <f t="shared" si="56"/>
        <v>6.0879349357195736</v>
      </c>
    </row>
    <row r="308" spans="2:17" customFormat="1" x14ac:dyDescent="0.25">
      <c r="B308" s="41" t="s">
        <v>1071</v>
      </c>
      <c r="C308" s="3" t="s">
        <v>450</v>
      </c>
      <c r="D308" s="3">
        <v>13.75</v>
      </c>
      <c r="E308" s="3">
        <v>13.563382501090024</v>
      </c>
      <c r="F308" s="3">
        <v>320</v>
      </c>
      <c r="G308" s="4">
        <v>22.63</v>
      </c>
      <c r="H308" s="7"/>
      <c r="I308" s="38">
        <f t="shared" si="61"/>
        <v>22.411169860856166</v>
      </c>
      <c r="J308" s="37">
        <f t="shared" si="62"/>
        <v>16.399999998721576</v>
      </c>
      <c r="K308" s="37">
        <f t="shared" si="63"/>
        <v>15.027770548991221</v>
      </c>
      <c r="L308" s="39">
        <f t="shared" si="64"/>
        <v>95.898389862348878</v>
      </c>
      <c r="M308" s="117"/>
      <c r="N308" s="38">
        <f t="shared" si="53"/>
        <v>1.6299032626077212</v>
      </c>
      <c r="O308" s="37">
        <f t="shared" si="54"/>
        <v>1.1927272726342963</v>
      </c>
      <c r="P308" s="37">
        <f t="shared" si="55"/>
        <v>1.0929287671993615</v>
      </c>
      <c r="Q308" s="39">
        <f t="shared" si="56"/>
        <v>6.9744283536253731</v>
      </c>
    </row>
    <row r="309" spans="2:17" customFormat="1" x14ac:dyDescent="0.25">
      <c r="B309" s="41" t="s">
        <v>1071</v>
      </c>
      <c r="C309" s="3" t="s">
        <v>451</v>
      </c>
      <c r="D309" s="3">
        <v>12.666666666666666</v>
      </c>
      <c r="E309" s="3">
        <v>8.6364336405120508</v>
      </c>
      <c r="F309" s="3">
        <v>360</v>
      </c>
      <c r="G309" s="4">
        <v>19.190000000000001</v>
      </c>
      <c r="H309" s="7"/>
      <c r="I309" s="38">
        <f t="shared" si="61"/>
        <v>16.251835386453859</v>
      </c>
      <c r="J309" s="37">
        <f t="shared" si="62"/>
        <v>9.9999999993982662</v>
      </c>
      <c r="K309" s="37">
        <f t="shared" si="63"/>
        <v>8.8000896778344426</v>
      </c>
      <c r="L309" s="39">
        <f t="shared" si="64"/>
        <v>35.899663302147175</v>
      </c>
      <c r="M309" s="117"/>
      <c r="N309" s="38">
        <f t="shared" si="53"/>
        <v>1.2830396357726732</v>
      </c>
      <c r="O309" s="37">
        <f t="shared" si="54"/>
        <v>0.78947368416302111</v>
      </c>
      <c r="P309" s="37">
        <f t="shared" si="55"/>
        <v>0.69474392193429813</v>
      </c>
      <c r="Q309" s="39">
        <f t="shared" si="56"/>
        <v>2.8341839449063562</v>
      </c>
    </row>
    <row r="310" spans="2:17" customFormat="1" x14ac:dyDescent="0.25">
      <c r="B310" s="41" t="s">
        <v>1071</v>
      </c>
      <c r="C310" s="3" t="s">
        <v>452</v>
      </c>
      <c r="D310" s="3">
        <v>11.666666666666666</v>
      </c>
      <c r="E310" s="3">
        <v>11.895802234050324</v>
      </c>
      <c r="F310" s="3">
        <v>780</v>
      </c>
      <c r="G310" s="4">
        <v>17.829999999999998</v>
      </c>
      <c r="H310" s="7"/>
      <c r="I310" s="38">
        <f t="shared" si="61"/>
        <v>17.093976501747971</v>
      </c>
      <c r="J310" s="37">
        <f t="shared" si="62"/>
        <v>13.139999999463466</v>
      </c>
      <c r="K310" s="37">
        <f t="shared" si="63"/>
        <v>16.102811251527548</v>
      </c>
      <c r="L310" s="39">
        <f t="shared" si="64"/>
        <v>79.730104032786855</v>
      </c>
      <c r="M310" s="117"/>
      <c r="N310" s="38">
        <f t="shared" si="53"/>
        <v>1.4651979858641118</v>
      </c>
      <c r="O310" s="37">
        <f t="shared" si="54"/>
        <v>1.1262857142397258</v>
      </c>
      <c r="P310" s="37">
        <f t="shared" si="55"/>
        <v>1.3802409644166471</v>
      </c>
      <c r="Q310" s="39">
        <f t="shared" si="56"/>
        <v>6.8340089170960168</v>
      </c>
    </row>
    <row r="311" spans="2:17" customFormat="1" x14ac:dyDescent="0.25">
      <c r="B311" s="41" t="s">
        <v>1071</v>
      </c>
      <c r="C311" s="3" t="s">
        <v>453</v>
      </c>
      <c r="D311" s="3">
        <v>5.25</v>
      </c>
      <c r="E311" s="3">
        <v>10.89026167334714</v>
      </c>
      <c r="F311" s="3">
        <v>1140</v>
      </c>
      <c r="G311" s="4">
        <v>7.88</v>
      </c>
      <c r="H311" s="7"/>
      <c r="I311" s="38">
        <f t="shared" si="61"/>
        <v>8.0103231154026364</v>
      </c>
      <c r="J311" s="37">
        <f t="shared" si="62"/>
        <v>5.8000000014999022</v>
      </c>
      <c r="K311" s="37">
        <f t="shared" si="63"/>
        <v>5.8509898537064942</v>
      </c>
      <c r="L311" s="39">
        <f t="shared" si="64"/>
        <v>13.024310722541244</v>
      </c>
      <c r="M311" s="117"/>
      <c r="N311" s="38">
        <f t="shared" si="53"/>
        <v>1.5257758315052641</v>
      </c>
      <c r="O311" s="37">
        <f t="shared" si="54"/>
        <v>1.1047619050476005</v>
      </c>
      <c r="P311" s="37">
        <f t="shared" si="55"/>
        <v>1.114474257848856</v>
      </c>
      <c r="Q311" s="39">
        <f t="shared" si="56"/>
        <v>2.480821090007856</v>
      </c>
    </row>
    <row r="312" spans="2:17" customFormat="1" x14ac:dyDescent="0.25">
      <c r="B312" s="41" t="s">
        <v>1071</v>
      </c>
      <c r="C312" s="3" t="s">
        <v>454</v>
      </c>
      <c r="D312" s="3">
        <v>5.25</v>
      </c>
      <c r="E312" s="3">
        <v>8.7497619651375356</v>
      </c>
      <c r="F312" s="3">
        <v>1040</v>
      </c>
      <c r="G312" s="4">
        <v>6.17</v>
      </c>
      <c r="H312" s="7"/>
      <c r="I312" s="38">
        <f t="shared" si="61"/>
        <v>7.2629430399123383</v>
      </c>
      <c r="J312" s="37">
        <f t="shared" si="62"/>
        <v>4.6600000012050966</v>
      </c>
      <c r="K312" s="37">
        <f t="shared" si="63"/>
        <v>4.3340361782025383</v>
      </c>
      <c r="L312" s="39">
        <f t="shared" si="64"/>
        <v>8.1512501814460681</v>
      </c>
      <c r="M312" s="117"/>
      <c r="N312" s="38">
        <f t="shared" si="53"/>
        <v>1.3834177218880643</v>
      </c>
      <c r="O312" s="37">
        <f t="shared" si="54"/>
        <v>0.8876190478485898</v>
      </c>
      <c r="P312" s="37">
        <f t="shared" si="55"/>
        <v>0.82553070061000733</v>
      </c>
      <c r="Q312" s="39">
        <f t="shared" si="56"/>
        <v>1.5526190821802035</v>
      </c>
    </row>
    <row r="313" spans="2:17" customFormat="1" x14ac:dyDescent="0.25">
      <c r="B313" s="41" t="s">
        <v>1071</v>
      </c>
      <c r="C313" s="3" t="s">
        <v>455</v>
      </c>
      <c r="D313" s="3">
        <v>6.166666666666667</v>
      </c>
      <c r="E313" s="3">
        <v>15.416488735031669</v>
      </c>
      <c r="F313" s="3">
        <v>620</v>
      </c>
      <c r="G313" s="4">
        <v>6.32</v>
      </c>
      <c r="H313" s="7"/>
      <c r="I313" s="38">
        <f t="shared" si="61"/>
        <v>13.677484787256111</v>
      </c>
      <c r="J313" s="37">
        <f t="shared" si="62"/>
        <v>10.000000001776755</v>
      </c>
      <c r="K313" s="37">
        <f t="shared" si="63"/>
        <v>8.2716736113708293</v>
      </c>
      <c r="L313" s="39">
        <f t="shared" si="64"/>
        <v>33.326391499599573</v>
      </c>
      <c r="M313" s="117"/>
      <c r="N313" s="38">
        <f t="shared" si="53"/>
        <v>2.2179705060415316</v>
      </c>
      <c r="O313" s="37">
        <f t="shared" si="54"/>
        <v>1.6216216219097439</v>
      </c>
      <c r="P313" s="37">
        <f t="shared" si="55"/>
        <v>1.341352477519594</v>
      </c>
      <c r="Q313" s="39">
        <f t="shared" si="56"/>
        <v>5.4042797026377682</v>
      </c>
    </row>
    <row r="314" spans="2:17" customFormat="1" x14ac:dyDescent="0.25">
      <c r="B314" s="41" t="s">
        <v>1071</v>
      </c>
      <c r="C314" s="3" t="s">
        <v>456</v>
      </c>
      <c r="D314" s="3">
        <v>6.166666666666667</v>
      </c>
      <c r="E314" s="3">
        <v>13.874839861528502</v>
      </c>
      <c r="F314" s="3">
        <v>800</v>
      </c>
      <c r="G314" s="4">
        <v>8.61</v>
      </c>
      <c r="H314" s="7"/>
      <c r="I314" s="38">
        <f t="shared" si="61"/>
        <v>12.0644917448542</v>
      </c>
      <c r="J314" s="37">
        <f t="shared" si="62"/>
        <v>9.0000000015990782</v>
      </c>
      <c r="K314" s="37">
        <f t="shared" si="63"/>
        <v>8.2411771817058632</v>
      </c>
      <c r="L314" s="39">
        <f t="shared" si="64"/>
        <v>28.908476946928143</v>
      </c>
      <c r="M314" s="117"/>
      <c r="N314" s="38">
        <f t="shared" si="53"/>
        <v>1.9564040667331135</v>
      </c>
      <c r="O314" s="37">
        <f t="shared" si="54"/>
        <v>1.4594594597187693</v>
      </c>
      <c r="P314" s="37">
        <f t="shared" si="55"/>
        <v>1.3364071105468966</v>
      </c>
      <c r="Q314" s="39">
        <f t="shared" si="56"/>
        <v>4.6878611265288876</v>
      </c>
    </row>
    <row r="315" spans="2:17" customFormat="1" x14ac:dyDescent="0.25">
      <c r="B315" s="41" t="s">
        <v>1071</v>
      </c>
      <c r="C315" s="3" t="s">
        <v>457</v>
      </c>
      <c r="D315" s="3">
        <v>6.166666666666667</v>
      </c>
      <c r="E315" s="3">
        <v>12.333190988025331</v>
      </c>
      <c r="F315" s="3">
        <v>970</v>
      </c>
      <c r="G315" s="4">
        <v>7.59</v>
      </c>
      <c r="H315" s="7"/>
      <c r="I315" s="38">
        <f t="shared" si="61"/>
        <v>10.664944082753765</v>
      </c>
      <c r="J315" s="37">
        <f t="shared" si="62"/>
        <v>8.0000000014213999</v>
      </c>
      <c r="K315" s="37">
        <f t="shared" si="63"/>
        <v>8.1418671327721803</v>
      </c>
      <c r="L315" s="39">
        <f t="shared" si="64"/>
        <v>24.882633828020932</v>
      </c>
      <c r="M315" s="117"/>
      <c r="N315" s="38">
        <f t="shared" si="53"/>
        <v>1.7294503917979078</v>
      </c>
      <c r="O315" s="37">
        <f t="shared" si="54"/>
        <v>1.2972972975277945</v>
      </c>
      <c r="P315" s="37">
        <f t="shared" si="55"/>
        <v>1.3203027782873806</v>
      </c>
      <c r="Q315" s="39">
        <f t="shared" si="56"/>
        <v>4.0350217018412318</v>
      </c>
    </row>
    <row r="316" spans="2:17" customFormat="1" x14ac:dyDescent="0.25">
      <c r="B316" s="41" t="s">
        <v>1071</v>
      </c>
      <c r="C316" s="3" t="s">
        <v>458</v>
      </c>
      <c r="D316" s="3">
        <v>6.166666666666667</v>
      </c>
      <c r="E316" s="3">
        <v>13.874839861528502</v>
      </c>
      <c r="F316" s="3">
        <v>840</v>
      </c>
      <c r="G316" s="4">
        <v>8.1999999999999993</v>
      </c>
      <c r="H316" s="7"/>
      <c r="I316" s="38">
        <f t="shared" si="61"/>
        <v>11.959746728828385</v>
      </c>
      <c r="J316" s="37">
        <f t="shared" si="62"/>
        <v>9.0000000015990782</v>
      </c>
      <c r="K316" s="37">
        <f t="shared" si="63"/>
        <v>8.5238080530925675</v>
      </c>
      <c r="L316" s="39">
        <f t="shared" si="64"/>
        <v>29.818674910194094</v>
      </c>
      <c r="M316" s="117"/>
      <c r="N316" s="38">
        <f t="shared" si="53"/>
        <v>1.9394183884586569</v>
      </c>
      <c r="O316" s="37">
        <f t="shared" si="54"/>
        <v>1.4594594597187693</v>
      </c>
      <c r="P316" s="37">
        <f t="shared" si="55"/>
        <v>1.3822391437447406</v>
      </c>
      <c r="Q316" s="39">
        <f t="shared" si="56"/>
        <v>4.8354607962476903</v>
      </c>
    </row>
    <row r="317" spans="2:17" customFormat="1" x14ac:dyDescent="0.25">
      <c r="B317" s="41" t="s">
        <v>1071</v>
      </c>
      <c r="C317" s="3" t="s">
        <v>459</v>
      </c>
      <c r="D317" s="3">
        <v>5.25</v>
      </c>
      <c r="E317" s="3">
        <v>12.580129864038943</v>
      </c>
      <c r="F317" s="3">
        <v>960</v>
      </c>
      <c r="G317" s="4">
        <v>8.18</v>
      </c>
      <c r="H317" s="7"/>
      <c r="I317" s="38">
        <f t="shared" si="61"/>
        <v>9.1568972712564936</v>
      </c>
      <c r="J317" s="37">
        <f t="shared" si="62"/>
        <v>6.700000001732648</v>
      </c>
      <c r="K317" s="37">
        <f t="shared" si="63"/>
        <v>5.9610606895134701</v>
      </c>
      <c r="L317" s="39">
        <f t="shared" si="64"/>
        <v>15.426972221073912</v>
      </c>
      <c r="M317" s="117"/>
      <c r="N317" s="38">
        <f t="shared" si="53"/>
        <v>1.7441709088107606</v>
      </c>
      <c r="O317" s="37">
        <f t="shared" si="54"/>
        <v>1.2761904765205043</v>
      </c>
      <c r="P317" s="37">
        <f t="shared" si="55"/>
        <v>1.135440131335899</v>
      </c>
      <c r="Q317" s="39">
        <f t="shared" si="56"/>
        <v>2.9384708992521738</v>
      </c>
    </row>
    <row r="318" spans="2:17" customFormat="1" x14ac:dyDescent="0.25">
      <c r="B318" s="41" t="s">
        <v>1071</v>
      </c>
      <c r="C318" s="3" t="s">
        <v>460</v>
      </c>
      <c r="D318" s="3">
        <v>6.166666666666667</v>
      </c>
      <c r="E318" s="3">
        <v>12.333190988025331</v>
      </c>
      <c r="F318" s="3">
        <v>920</v>
      </c>
      <c r="G318" s="4">
        <v>7.12</v>
      </c>
      <c r="H318" s="7"/>
      <c r="I318" s="38">
        <f t="shared" si="61"/>
        <v>10.781827832447382</v>
      </c>
      <c r="J318" s="37">
        <f t="shared" si="62"/>
        <v>8.0000000014213999</v>
      </c>
      <c r="K318" s="37">
        <f t="shared" si="63"/>
        <v>7.8058193903231752</v>
      </c>
      <c r="L318" s="39">
        <f t="shared" si="64"/>
        <v>23.93687420011355</v>
      </c>
      <c r="M318" s="117"/>
      <c r="N318" s="38">
        <f t="shared" si="53"/>
        <v>1.7484045133698456</v>
      </c>
      <c r="O318" s="37">
        <f t="shared" si="54"/>
        <v>1.2972972975277945</v>
      </c>
      <c r="P318" s="37">
        <f t="shared" si="55"/>
        <v>1.2658085497821365</v>
      </c>
      <c r="Q318" s="39">
        <f t="shared" si="56"/>
        <v>3.8816552756940892</v>
      </c>
    </row>
    <row r="319" spans="2:17" customFormat="1" x14ac:dyDescent="0.25">
      <c r="B319" s="41" t="s">
        <v>1071</v>
      </c>
      <c r="C319" s="3" t="s">
        <v>461</v>
      </c>
      <c r="D319" s="3">
        <v>6.166666666666667</v>
      </c>
      <c r="E319" s="3">
        <v>10.791542114522167</v>
      </c>
      <c r="F319" s="3">
        <v>959</v>
      </c>
      <c r="G319" s="4">
        <v>7.22</v>
      </c>
      <c r="H319" s="7"/>
      <c r="I319" s="38">
        <f t="shared" si="61"/>
        <v>9.8071885855975243</v>
      </c>
      <c r="J319" s="37">
        <f t="shared" si="62"/>
        <v>7.0000000012437278</v>
      </c>
      <c r="K319" s="37">
        <f t="shared" si="63"/>
        <v>6.9054632027107381</v>
      </c>
      <c r="L319" s="39">
        <f t="shared" si="64"/>
        <v>18.614305071272355</v>
      </c>
      <c r="M319" s="117"/>
      <c r="N319" s="38">
        <f t="shared" si="53"/>
        <v>1.5903549057725714</v>
      </c>
      <c r="O319" s="37">
        <f t="shared" si="54"/>
        <v>1.1351351353368206</v>
      </c>
      <c r="P319" s="37">
        <f t="shared" si="55"/>
        <v>1.1198048436828223</v>
      </c>
      <c r="Q319" s="39">
        <f t="shared" si="56"/>
        <v>3.0185359575036248</v>
      </c>
    </row>
    <row r="320" spans="2:17" customFormat="1" x14ac:dyDescent="0.25">
      <c r="B320" s="41" t="s">
        <v>1071</v>
      </c>
      <c r="C320" s="3" t="s">
        <v>462</v>
      </c>
      <c r="D320" s="3">
        <v>14.75</v>
      </c>
      <c r="E320" s="3">
        <v>15.23127192393259</v>
      </c>
      <c r="F320" s="3">
        <v>400</v>
      </c>
      <c r="G320" s="4">
        <v>27.32</v>
      </c>
      <c r="H320" s="7"/>
      <c r="I320" s="38">
        <f t="shared" si="61"/>
        <v>24.897323716448337</v>
      </c>
      <c r="J320" s="37">
        <f t="shared" si="62"/>
        <v>19.059999998245608</v>
      </c>
      <c r="K320" s="37">
        <f t="shared" si="63"/>
        <v>20.139066710771214</v>
      </c>
      <c r="L320" s="39">
        <f t="shared" si="64"/>
        <v>151.38559600684417</v>
      </c>
      <c r="M320" s="117"/>
      <c r="N320" s="38">
        <f t="shared" si="53"/>
        <v>1.6879541502676838</v>
      </c>
      <c r="O320" s="37">
        <f t="shared" si="54"/>
        <v>1.2922033897115666</v>
      </c>
      <c r="P320" s="37">
        <f t="shared" si="55"/>
        <v>1.36536045496754</v>
      </c>
      <c r="Q320" s="39">
        <f t="shared" si="56"/>
        <v>10.263430237752146</v>
      </c>
    </row>
    <row r="321" spans="2:17" customFormat="1" x14ac:dyDescent="0.25">
      <c r="B321" s="41" t="s">
        <v>1071</v>
      </c>
      <c r="C321" s="3" t="s">
        <v>463</v>
      </c>
      <c r="D321" s="3">
        <v>8.5833333333333339</v>
      </c>
      <c r="E321" s="3">
        <v>13.102537317062863</v>
      </c>
      <c r="F321" s="3">
        <v>1180</v>
      </c>
      <c r="G321" s="4">
        <v>14.13</v>
      </c>
      <c r="H321" s="7"/>
      <c r="I321" s="38">
        <f t="shared" si="61"/>
        <v>13.955191435249304</v>
      </c>
      <c r="J321" s="37">
        <f t="shared" si="62"/>
        <v>11.680000000551008</v>
      </c>
      <c r="K321" s="37">
        <f t="shared" si="63"/>
        <v>17.830532981018496</v>
      </c>
      <c r="L321" s="39">
        <f t="shared" si="64"/>
        <v>77.374016217761721</v>
      </c>
      <c r="M321" s="117"/>
      <c r="N321" s="38">
        <f t="shared" si="53"/>
        <v>1.6258475458542878</v>
      </c>
      <c r="O321" s="37">
        <f t="shared" si="54"/>
        <v>1.3607766990933212</v>
      </c>
      <c r="P321" s="37">
        <f t="shared" si="55"/>
        <v>2.0773436482739993</v>
      </c>
      <c r="Q321" s="39">
        <f t="shared" si="56"/>
        <v>9.0144484913897145</v>
      </c>
    </row>
    <row r="322" spans="2:17" customFormat="1" x14ac:dyDescent="0.25">
      <c r="B322" s="41" t="s">
        <v>1071</v>
      </c>
      <c r="C322" s="3" t="s">
        <v>464</v>
      </c>
      <c r="D322" s="3">
        <v>13.75</v>
      </c>
      <c r="E322" s="3">
        <v>16.127192608003377</v>
      </c>
      <c r="F322" s="3">
        <v>1100</v>
      </c>
      <c r="G322" s="4">
        <v>22.53</v>
      </c>
      <c r="H322" s="7"/>
      <c r="I322" s="38">
        <f t="shared" si="61"/>
        <v>21.822612828298087</v>
      </c>
      <c r="J322" s="37">
        <f t="shared" si="62"/>
        <v>19.499999998479918</v>
      </c>
      <c r="K322" s="37">
        <f t="shared" si="63"/>
        <v>37.559670654000115</v>
      </c>
      <c r="L322" s="39">
        <f t="shared" si="64"/>
        <v>280.42031305989809</v>
      </c>
      <c r="M322" s="117"/>
      <c r="N322" s="38">
        <f t="shared" si="53"/>
        <v>1.5870991147853155</v>
      </c>
      <c r="O322" s="37">
        <f t="shared" si="54"/>
        <v>1.4181818180712669</v>
      </c>
      <c r="P322" s="37">
        <f t="shared" si="55"/>
        <v>2.7316124112000084</v>
      </c>
      <c r="Q322" s="39">
        <f t="shared" si="56"/>
        <v>20.394204586174407</v>
      </c>
    </row>
    <row r="323" spans="2:17" customFormat="1" x14ac:dyDescent="0.25">
      <c r="B323" s="41" t="s">
        <v>1071</v>
      </c>
      <c r="C323" s="3" t="s">
        <v>465</v>
      </c>
      <c r="D323" s="3">
        <v>13.75</v>
      </c>
      <c r="E323" s="3">
        <v>15.713674848823803</v>
      </c>
      <c r="F323" s="3">
        <v>780</v>
      </c>
      <c r="G323" s="4">
        <v>23.48</v>
      </c>
      <c r="H323" s="7"/>
      <c r="I323" s="38">
        <f t="shared" si="61"/>
        <v>22.864221157646263</v>
      </c>
      <c r="J323" s="37">
        <f t="shared" si="62"/>
        <v>18.999999998518895</v>
      </c>
      <c r="K323" s="37">
        <f t="shared" si="63"/>
        <v>27.508052630554346</v>
      </c>
      <c r="L323" s="39">
        <f t="shared" si="64"/>
        <v>202.90238766325879</v>
      </c>
      <c r="M323" s="117"/>
      <c r="N323" s="38">
        <f t="shared" si="53"/>
        <v>1.6628524478288191</v>
      </c>
      <c r="O323" s="37">
        <f t="shared" si="54"/>
        <v>1.3818181817104651</v>
      </c>
      <c r="P323" s="37">
        <f t="shared" si="55"/>
        <v>2.0005856458584979</v>
      </c>
      <c r="Q323" s="39">
        <f t="shared" si="56"/>
        <v>14.75653728460064</v>
      </c>
    </row>
    <row r="324" spans="2:17" customFormat="1" x14ac:dyDescent="0.25">
      <c r="B324" s="41" t="s">
        <v>1071</v>
      </c>
      <c r="C324" s="3" t="s">
        <v>466</v>
      </c>
      <c r="D324" s="3">
        <v>13.75</v>
      </c>
      <c r="E324" s="3">
        <v>16.888065284893802</v>
      </c>
      <c r="F324" s="3">
        <v>680</v>
      </c>
      <c r="G324" s="4">
        <v>22.52</v>
      </c>
      <c r="H324" s="7"/>
      <c r="I324" s="38">
        <f t="shared" si="61"/>
        <v>24.954950467603915</v>
      </c>
      <c r="J324" s="37">
        <f t="shared" si="62"/>
        <v>20.419999998408212</v>
      </c>
      <c r="K324" s="37">
        <f t="shared" si="63"/>
        <v>28.4624123437051</v>
      </c>
      <c r="L324" s="39">
        <f t="shared" si="64"/>
        <v>232.71823389139499</v>
      </c>
      <c r="M324" s="117"/>
      <c r="N324" s="38">
        <f t="shared" si="53"/>
        <v>1.814905488553012</v>
      </c>
      <c r="O324" s="37">
        <f t="shared" si="54"/>
        <v>1.4850909089751427</v>
      </c>
      <c r="P324" s="37">
        <f t="shared" si="55"/>
        <v>2.0699936249967346</v>
      </c>
      <c r="Q324" s="39">
        <f t="shared" si="56"/>
        <v>16.924962464828727</v>
      </c>
    </row>
    <row r="325" spans="2:17" customFormat="1" x14ac:dyDescent="0.25">
      <c r="B325" s="41" t="s">
        <v>1071</v>
      </c>
      <c r="C325" s="3" t="s">
        <v>467</v>
      </c>
      <c r="D325" s="3">
        <v>13.75</v>
      </c>
      <c r="E325" s="3">
        <v>16.706117470854785</v>
      </c>
      <c r="F325" s="3">
        <v>1000</v>
      </c>
      <c r="G325" s="4">
        <v>23.23</v>
      </c>
      <c r="H325" s="7"/>
      <c r="I325" s="38">
        <f t="shared" si="61"/>
        <v>23.037734718632443</v>
      </c>
      <c r="J325" s="37">
        <f t="shared" si="62"/>
        <v>20.199999998425355</v>
      </c>
      <c r="K325" s="37">
        <f t="shared" si="63"/>
        <v>36.598228120182064</v>
      </c>
      <c r="L325" s="39">
        <f t="shared" si="64"/>
        <v>288.46680233377566</v>
      </c>
      <c r="M325" s="117"/>
      <c r="N325" s="38">
        <f t="shared" si="53"/>
        <v>1.6754716159005414</v>
      </c>
      <c r="O325" s="37">
        <f t="shared" si="54"/>
        <v>1.4690909089763895</v>
      </c>
      <c r="P325" s="37">
        <f t="shared" si="55"/>
        <v>2.6616893178314229</v>
      </c>
      <c r="Q325" s="39">
        <f t="shared" si="56"/>
        <v>20.979403806092776</v>
      </c>
    </row>
    <row r="326" spans="2:17" customFormat="1" x14ac:dyDescent="0.25">
      <c r="B326" s="41" t="s">
        <v>1071</v>
      </c>
      <c r="C326" s="3" t="s">
        <v>468</v>
      </c>
      <c r="D326" s="3">
        <v>13.75</v>
      </c>
      <c r="E326" s="3">
        <v>17.36774588554211</v>
      </c>
      <c r="F326" s="3">
        <v>1160</v>
      </c>
      <c r="G326" s="4">
        <v>21.35</v>
      </c>
      <c r="H326" s="7"/>
      <c r="I326" s="38">
        <f t="shared" si="61"/>
        <v>23.086937696187057</v>
      </c>
      <c r="J326" s="37">
        <f t="shared" si="62"/>
        <v>20.999999998363002</v>
      </c>
      <c r="K326" s="37">
        <f t="shared" si="63"/>
        <v>44.772190050627707</v>
      </c>
      <c r="L326" s="39">
        <f t="shared" si="64"/>
        <v>368.51570867312591</v>
      </c>
      <c r="M326" s="117"/>
      <c r="N326" s="38">
        <f t="shared" ref="N326:N389" si="65">I326/D326</f>
        <v>1.6790500142681497</v>
      </c>
      <c r="O326" s="37">
        <f t="shared" ref="O326:O389" si="66">J326/D326</f>
        <v>1.5272727271536728</v>
      </c>
      <c r="P326" s="37">
        <f t="shared" ref="P326:P389" si="67">K326/D326</f>
        <v>3.2561592764092877</v>
      </c>
      <c r="Q326" s="39">
        <f t="shared" ref="Q326:Q389" si="68">L326/D326</f>
        <v>26.801142448954611</v>
      </c>
    </row>
    <row r="327" spans="2:17" customFormat="1" x14ac:dyDescent="0.25">
      <c r="B327" s="41" t="s">
        <v>1071</v>
      </c>
      <c r="C327" s="3" t="s">
        <v>469</v>
      </c>
      <c r="D327" s="3">
        <v>13.75</v>
      </c>
      <c r="E327" s="3">
        <v>16.54071036718296</v>
      </c>
      <c r="F327" s="3">
        <v>1280</v>
      </c>
      <c r="G327" s="4">
        <v>22.3</v>
      </c>
      <c r="H327" s="7"/>
      <c r="I327" s="38">
        <f t="shared" si="61"/>
        <v>21.473940750686335</v>
      </c>
      <c r="J327" s="37">
        <f t="shared" si="62"/>
        <v>19.999999998440952</v>
      </c>
      <c r="K327" s="37">
        <f t="shared" si="63"/>
        <v>45.575167089208257</v>
      </c>
      <c r="L327" s="39">
        <f t="shared" si="64"/>
        <v>347.70491578830155</v>
      </c>
      <c r="M327" s="117"/>
      <c r="N327" s="38">
        <f t="shared" si="65"/>
        <v>1.5617411455044607</v>
      </c>
      <c r="O327" s="37">
        <f t="shared" si="66"/>
        <v>1.4545454544320693</v>
      </c>
      <c r="P327" s="37">
        <f t="shared" si="67"/>
        <v>3.3145576064878735</v>
      </c>
      <c r="Q327" s="39">
        <f t="shared" si="68"/>
        <v>25.287630239149202</v>
      </c>
    </row>
    <row r="328" spans="2:17" customFormat="1" x14ac:dyDescent="0.25">
      <c r="B328" s="41" t="s">
        <v>1071</v>
      </c>
      <c r="C328" s="3" t="s">
        <v>470</v>
      </c>
      <c r="D328" s="3">
        <v>13.75</v>
      </c>
      <c r="E328" s="3">
        <v>15.300157089644236</v>
      </c>
      <c r="F328" s="3">
        <v>1040</v>
      </c>
      <c r="G328" s="4">
        <v>20.49</v>
      </c>
      <c r="H328" s="7"/>
      <c r="I328" s="38">
        <f t="shared" si="61"/>
        <v>21.110274601170961</v>
      </c>
      <c r="J328" s="37">
        <f t="shared" si="62"/>
        <v>18.499999998557879</v>
      </c>
      <c r="K328" s="37">
        <f t="shared" si="63"/>
        <v>32.85049074236273</v>
      </c>
      <c r="L328" s="39">
        <f t="shared" si="64"/>
        <v>230.1336974286838</v>
      </c>
      <c r="M328" s="117"/>
      <c r="N328" s="38">
        <f t="shared" si="65"/>
        <v>1.535292698266979</v>
      </c>
      <c r="O328" s="37">
        <f t="shared" si="66"/>
        <v>1.345454545349664</v>
      </c>
      <c r="P328" s="37">
        <f t="shared" si="67"/>
        <v>2.3891265994445621</v>
      </c>
      <c r="Q328" s="39">
        <f t="shared" si="68"/>
        <v>16.73699617663155</v>
      </c>
    </row>
    <row r="329" spans="2:17" customFormat="1" x14ac:dyDescent="0.25">
      <c r="B329" s="41" t="s">
        <v>1071</v>
      </c>
      <c r="C329" s="3" t="s">
        <v>471</v>
      </c>
      <c r="D329" s="3">
        <v>13.75</v>
      </c>
      <c r="E329" s="3">
        <v>17.36774588554211</v>
      </c>
      <c r="F329" s="3">
        <v>1100</v>
      </c>
      <c r="G329" s="4">
        <v>21.96</v>
      </c>
      <c r="H329" s="7"/>
      <c r="I329" s="38">
        <f t="shared" si="61"/>
        <v>23.390898410709831</v>
      </c>
      <c r="J329" s="37">
        <f t="shared" si="62"/>
        <v>20.999999998363002</v>
      </c>
      <c r="K329" s="37">
        <f t="shared" si="63"/>
        <v>42.563930335263329</v>
      </c>
      <c r="L329" s="39">
        <f t="shared" si="64"/>
        <v>351.77203551269366</v>
      </c>
      <c r="M329" s="117"/>
      <c r="N329" s="38">
        <f t="shared" si="65"/>
        <v>1.701156248051624</v>
      </c>
      <c r="O329" s="37">
        <f t="shared" si="66"/>
        <v>1.5272727271536728</v>
      </c>
      <c r="P329" s="37">
        <f t="shared" si="67"/>
        <v>3.0955585698373329</v>
      </c>
      <c r="Q329" s="39">
        <f t="shared" si="68"/>
        <v>25.583420764559538</v>
      </c>
    </row>
    <row r="330" spans="2:17" customFormat="1" x14ac:dyDescent="0.25">
      <c r="B330" s="41" t="s">
        <v>1071</v>
      </c>
      <c r="C330" s="3" t="s">
        <v>472</v>
      </c>
      <c r="D330" s="3">
        <v>10.75</v>
      </c>
      <c r="E330" s="3">
        <v>19.394531956093918</v>
      </c>
      <c r="F330" s="3">
        <v>1120</v>
      </c>
      <c r="G330" s="4">
        <v>20.010000000000002</v>
      </c>
      <c r="H330" s="7"/>
      <c r="I330" s="38">
        <f t="shared" si="61"/>
        <v>23.118292446136014</v>
      </c>
      <c r="J330" s="37">
        <f t="shared" si="62"/>
        <v>20.359999999593992</v>
      </c>
      <c r="K330" s="37">
        <f t="shared" si="63"/>
        <v>41.968823076916919</v>
      </c>
      <c r="L330" s="39">
        <f t="shared" si="64"/>
        <v>357.58851851209283</v>
      </c>
      <c r="M330" s="117"/>
      <c r="N330" s="38">
        <f t="shared" si="65"/>
        <v>2.1505388321986989</v>
      </c>
      <c r="O330" s="37">
        <f t="shared" si="66"/>
        <v>1.8939534883343248</v>
      </c>
      <c r="P330" s="37">
        <f t="shared" si="67"/>
        <v>3.9040765652945972</v>
      </c>
      <c r="Q330" s="39">
        <f t="shared" si="68"/>
        <v>33.264048233683056</v>
      </c>
    </row>
    <row r="331" spans="2:17" customFormat="1" x14ac:dyDescent="0.25">
      <c r="B331" s="41" t="s">
        <v>1071</v>
      </c>
      <c r="C331" s="3" t="s">
        <v>473</v>
      </c>
      <c r="D331" s="3">
        <v>11.75</v>
      </c>
      <c r="E331" s="3">
        <v>16.100577644285828</v>
      </c>
      <c r="F331" s="3">
        <v>460</v>
      </c>
      <c r="G331" s="4">
        <v>25.16</v>
      </c>
      <c r="H331" s="7"/>
      <c r="I331" s="38">
        <f t="shared" si="61"/>
        <v>23.27385223583109</v>
      </c>
      <c r="J331" s="37">
        <f t="shared" si="62"/>
        <v>17.859999999239712</v>
      </c>
      <c r="K331" s="37">
        <f t="shared" si="63"/>
        <v>18.919993511522613</v>
      </c>
      <c r="L331" s="39">
        <f t="shared" si="64"/>
        <v>135.64990046514578</v>
      </c>
      <c r="M331" s="117"/>
      <c r="N331" s="38">
        <f t="shared" si="65"/>
        <v>1.9807533817728586</v>
      </c>
      <c r="O331" s="37">
        <f t="shared" si="66"/>
        <v>1.5199999999352947</v>
      </c>
      <c r="P331" s="37">
        <f t="shared" si="67"/>
        <v>1.6102122137466053</v>
      </c>
      <c r="Q331" s="39">
        <f t="shared" si="68"/>
        <v>11.544672380012406</v>
      </c>
    </row>
    <row r="332" spans="2:17" customFormat="1" x14ac:dyDescent="0.25">
      <c r="B332" s="41" t="s">
        <v>1071</v>
      </c>
      <c r="C332" s="3" t="s">
        <v>474</v>
      </c>
      <c r="D332" s="3">
        <v>11.5</v>
      </c>
      <c r="E332" s="3">
        <v>13.697657184236554</v>
      </c>
      <c r="F332" s="3">
        <v>1000</v>
      </c>
      <c r="G332" s="4">
        <v>18.97</v>
      </c>
      <c r="H332" s="7"/>
      <c r="I332" s="38">
        <f t="shared" si="61"/>
        <v>17.888836551379871</v>
      </c>
      <c r="J332" s="37">
        <f t="shared" si="62"/>
        <v>14.999999999440774</v>
      </c>
      <c r="K332" s="37">
        <f t="shared" si="63"/>
        <v>22.913387003647717</v>
      </c>
      <c r="L332" s="39">
        <f t="shared" si="64"/>
        <v>128.4831012064713</v>
      </c>
      <c r="M332" s="117"/>
      <c r="N332" s="38">
        <f t="shared" si="65"/>
        <v>1.5555510044678149</v>
      </c>
      <c r="O332" s="37">
        <f t="shared" si="66"/>
        <v>1.3043478260383281</v>
      </c>
      <c r="P332" s="37">
        <f t="shared" si="67"/>
        <v>1.9924684350998014</v>
      </c>
      <c r="Q332" s="39">
        <f t="shared" si="68"/>
        <v>11.172443583171418</v>
      </c>
    </row>
    <row r="333" spans="2:17" customFormat="1" x14ac:dyDescent="0.25">
      <c r="B333" s="41" t="s">
        <v>1071</v>
      </c>
      <c r="C333" s="3" t="s">
        <v>475</v>
      </c>
      <c r="D333" s="3">
        <v>12.333333333333334</v>
      </c>
      <c r="E333" s="3">
        <v>13.411534209470705</v>
      </c>
      <c r="F333" s="3">
        <v>620</v>
      </c>
      <c r="G333" s="4">
        <v>26.61</v>
      </c>
      <c r="H333" s="7"/>
      <c r="I333" s="38">
        <f t="shared" si="61"/>
        <v>19.805608615203848</v>
      </c>
      <c r="J333" s="37">
        <f t="shared" si="62"/>
        <v>15.299999999172654</v>
      </c>
      <c r="K333" s="37">
        <f t="shared" si="63"/>
        <v>17.298957190991501</v>
      </c>
      <c r="L333" s="39">
        <f t="shared" si="64"/>
        <v>101.08570110808944</v>
      </c>
      <c r="M333" s="117"/>
      <c r="N333" s="38">
        <f t="shared" si="65"/>
        <v>1.6058601579895011</v>
      </c>
      <c r="O333" s="37">
        <f t="shared" si="66"/>
        <v>1.2405405404734584</v>
      </c>
      <c r="P333" s="37">
        <f t="shared" si="67"/>
        <v>1.4026181506209325</v>
      </c>
      <c r="Q333" s="39">
        <f t="shared" si="68"/>
        <v>8.1961379276829263</v>
      </c>
    </row>
    <row r="334" spans="2:17" customFormat="1" x14ac:dyDescent="0.25">
      <c r="B334" s="41" t="s">
        <v>1071</v>
      </c>
      <c r="C334" s="3" t="s">
        <v>476</v>
      </c>
      <c r="D334" s="3">
        <v>12.333333333333334</v>
      </c>
      <c r="E334" s="3">
        <v>12.622620432443014</v>
      </c>
      <c r="F334" s="3">
        <v>680</v>
      </c>
      <c r="G334" s="4">
        <v>26.09</v>
      </c>
      <c r="H334" s="7"/>
      <c r="I334" s="38">
        <f t="shared" si="61"/>
        <v>18.704253493759378</v>
      </c>
      <c r="J334" s="37">
        <f t="shared" si="62"/>
        <v>14.399999999221318</v>
      </c>
      <c r="K334" s="37">
        <f t="shared" si="63"/>
        <v>16.80515304032366</v>
      </c>
      <c r="L334" s="39">
        <f t="shared" si="64"/>
        <v>91.68013586473073</v>
      </c>
      <c r="M334" s="117"/>
      <c r="N334" s="38">
        <f t="shared" si="65"/>
        <v>1.5165610940885981</v>
      </c>
      <c r="O334" s="37">
        <f t="shared" si="66"/>
        <v>1.1675675675044312</v>
      </c>
      <c r="P334" s="37">
        <f t="shared" si="67"/>
        <v>1.3625799762424589</v>
      </c>
      <c r="Q334" s="39">
        <f t="shared" si="68"/>
        <v>7.4335245295727619</v>
      </c>
    </row>
    <row r="335" spans="2:17" customFormat="1" x14ac:dyDescent="0.25">
      <c r="B335" s="41" t="s">
        <v>1071</v>
      </c>
      <c r="C335" s="3" t="s">
        <v>477</v>
      </c>
      <c r="D335" s="3">
        <v>12.333333333333334</v>
      </c>
      <c r="E335" s="3">
        <v>13.849819641152751</v>
      </c>
      <c r="F335" s="3">
        <v>560</v>
      </c>
      <c r="G335" s="4">
        <v>23.99</v>
      </c>
      <c r="H335" s="7"/>
      <c r="I335" s="38">
        <f t="shared" si="61"/>
        <v>20.564456293374992</v>
      </c>
      <c r="J335" s="37">
        <f t="shared" si="62"/>
        <v>15.799999999145614</v>
      </c>
      <c r="K335" s="37">
        <f t="shared" si="63"/>
        <v>17.188756424004897</v>
      </c>
      <c r="L335" s="39">
        <f t="shared" si="64"/>
        <v>104.53889566915844</v>
      </c>
      <c r="M335" s="117"/>
      <c r="N335" s="38">
        <f t="shared" si="65"/>
        <v>1.6673883481114857</v>
      </c>
      <c r="O335" s="37">
        <f t="shared" si="66"/>
        <v>1.2810810810118065</v>
      </c>
      <c r="P335" s="37">
        <f t="shared" si="67"/>
        <v>1.3936829532976942</v>
      </c>
      <c r="Q335" s="39">
        <f t="shared" si="68"/>
        <v>8.4761266758777101</v>
      </c>
    </row>
    <row r="336" spans="2:17" customFormat="1" x14ac:dyDescent="0.25">
      <c r="B336" s="41" t="s">
        <v>1071</v>
      </c>
      <c r="C336" s="3" t="s">
        <v>478</v>
      </c>
      <c r="D336" s="3">
        <v>12.25</v>
      </c>
      <c r="E336" s="3">
        <v>15.047042855234213</v>
      </c>
      <c r="F336" s="3">
        <v>360</v>
      </c>
      <c r="G336" s="4">
        <v>23.72</v>
      </c>
      <c r="H336" s="7"/>
      <c r="I336" s="38">
        <f t="shared" ref="I336:I344" si="69">EXP(2.853221 -5.94932/D336+ 0.055943*E336-0.000218*F336)</f>
        <v>22.893635426115015</v>
      </c>
      <c r="J336" s="37">
        <f t="shared" ref="J336:J344" si="70">EXP(LN(E336) -6.96328 * (1/D336- 0.1))</f>
        <v>17.09999999910228</v>
      </c>
      <c r="K336" s="37">
        <f t="shared" ref="K336:K344" si="71">EXP(1.91575 -11.592777/D336+ 0.100823*E336+ 0.000843*F336)</f>
        <v>16.280512801405315</v>
      </c>
      <c r="L336" s="39">
        <f t="shared" ref="L336:L344" si="72">EXP(3.160695 -18.203956/D336+ 0.182736*E336+ 0.000775*F336)</f>
        <v>110.30995750010149</v>
      </c>
      <c r="M336" s="117"/>
      <c r="N336" s="38">
        <f t="shared" si="65"/>
        <v>1.8688681980502053</v>
      </c>
      <c r="O336" s="37">
        <f t="shared" si="66"/>
        <v>1.3959183672736555</v>
      </c>
      <c r="P336" s="37">
        <f t="shared" si="67"/>
        <v>1.3290214531759441</v>
      </c>
      <c r="Q336" s="39">
        <f t="shared" si="68"/>
        <v>9.0048944898042027</v>
      </c>
    </row>
    <row r="337" spans="2:17" customFormat="1" x14ac:dyDescent="0.25">
      <c r="B337" s="41" t="s">
        <v>1071</v>
      </c>
      <c r="C337" s="3" t="s">
        <v>479</v>
      </c>
      <c r="D337" s="3">
        <v>6.25</v>
      </c>
      <c r="E337" s="3">
        <v>15.186120613378122</v>
      </c>
      <c r="F337" s="3">
        <v>1200</v>
      </c>
      <c r="G337" s="4">
        <v>14.15</v>
      </c>
      <c r="H337" s="7"/>
      <c r="I337" s="38">
        <f t="shared" si="69"/>
        <v>12.052678838449948</v>
      </c>
      <c r="J337" s="37">
        <f t="shared" si="70"/>
        <v>10.000000001714955</v>
      </c>
      <c r="K337" s="37">
        <f t="shared" si="71"/>
        <v>13.512509940302616</v>
      </c>
      <c r="L337" s="39">
        <f t="shared" si="72"/>
        <v>52.097292310768829</v>
      </c>
      <c r="M337" s="117"/>
      <c r="N337" s="38">
        <f t="shared" si="65"/>
        <v>1.9284286141519917</v>
      </c>
      <c r="O337" s="37">
        <f t="shared" si="66"/>
        <v>1.6000000002743928</v>
      </c>
      <c r="P337" s="37">
        <f t="shared" si="67"/>
        <v>2.1620015904484187</v>
      </c>
      <c r="Q337" s="39">
        <f t="shared" si="68"/>
        <v>8.3355667697230125</v>
      </c>
    </row>
    <row r="338" spans="2:17" customFormat="1" x14ac:dyDescent="0.25">
      <c r="B338" s="41" t="s">
        <v>1071</v>
      </c>
      <c r="C338" s="3" t="s">
        <v>480</v>
      </c>
      <c r="D338" s="3">
        <v>12.25</v>
      </c>
      <c r="E338" s="3">
        <v>14.642268602988146</v>
      </c>
      <c r="F338" s="3">
        <v>280</v>
      </c>
      <c r="G338" s="4">
        <v>25.45</v>
      </c>
      <c r="H338" s="7"/>
      <c r="I338" s="38">
        <f t="shared" si="69"/>
        <v>22.774799895190931</v>
      </c>
      <c r="J338" s="37">
        <f t="shared" si="70"/>
        <v>16.639999999126427</v>
      </c>
      <c r="K338" s="37">
        <f t="shared" si="71"/>
        <v>14.610176471447286</v>
      </c>
      <c r="L338" s="39">
        <f t="shared" si="72"/>
        <v>96.286427677769439</v>
      </c>
      <c r="M338" s="117"/>
      <c r="N338" s="38">
        <f t="shared" si="65"/>
        <v>1.8591673383829332</v>
      </c>
      <c r="O338" s="37">
        <f t="shared" si="66"/>
        <v>1.3583673468674635</v>
      </c>
      <c r="P338" s="37">
        <f t="shared" si="67"/>
        <v>1.1926674670569213</v>
      </c>
      <c r="Q338" s="39">
        <f t="shared" si="68"/>
        <v>7.8601165451240362</v>
      </c>
    </row>
    <row r="339" spans="2:17" customFormat="1" x14ac:dyDescent="0.25">
      <c r="B339" s="41" t="s">
        <v>1071</v>
      </c>
      <c r="C339" s="3" t="s">
        <v>481</v>
      </c>
      <c r="D339" s="3">
        <v>6.25</v>
      </c>
      <c r="E339" s="3">
        <v>12.877830280144646</v>
      </c>
      <c r="F339" s="3">
        <v>980</v>
      </c>
      <c r="G339" s="4">
        <v>14.75</v>
      </c>
      <c r="H339" s="7"/>
      <c r="I339" s="38">
        <f t="shared" si="69"/>
        <v>11.112985165917674</v>
      </c>
      <c r="J339" s="37">
        <f t="shared" si="70"/>
        <v>8.4800000014542807</v>
      </c>
      <c r="K339" s="37">
        <f t="shared" si="71"/>
        <v>8.8944471148107329</v>
      </c>
      <c r="L339" s="39">
        <f t="shared" si="72"/>
        <v>28.812382252647613</v>
      </c>
      <c r="M339" s="117"/>
      <c r="N339" s="38">
        <f t="shared" si="65"/>
        <v>1.7780776265468279</v>
      </c>
      <c r="O339" s="37">
        <f t="shared" si="66"/>
        <v>1.356800000232685</v>
      </c>
      <c r="P339" s="37">
        <f t="shared" si="67"/>
        <v>1.4231115383697173</v>
      </c>
      <c r="Q339" s="39">
        <f t="shared" si="68"/>
        <v>4.6099811604236178</v>
      </c>
    </row>
    <row r="340" spans="2:17" customFormat="1" x14ac:dyDescent="0.25">
      <c r="B340" s="41" t="s">
        <v>1071</v>
      </c>
      <c r="C340" s="3" t="s">
        <v>482</v>
      </c>
      <c r="D340" s="3">
        <v>12.25</v>
      </c>
      <c r="E340" s="3">
        <v>14.255093231274513</v>
      </c>
      <c r="F340" s="3">
        <v>400</v>
      </c>
      <c r="G340" s="4">
        <v>20.7</v>
      </c>
      <c r="H340" s="7"/>
      <c r="I340" s="38">
        <f t="shared" si="69"/>
        <v>21.711344351672142</v>
      </c>
      <c r="J340" s="37">
        <f t="shared" si="70"/>
        <v>16.199999999149522</v>
      </c>
      <c r="K340" s="37">
        <f t="shared" si="71"/>
        <v>15.546602437697434</v>
      </c>
      <c r="L340" s="39">
        <f t="shared" si="72"/>
        <v>98.452725836200401</v>
      </c>
      <c r="M340" s="117"/>
      <c r="N340" s="38">
        <f t="shared" si="65"/>
        <v>1.7723546409528279</v>
      </c>
      <c r="O340" s="37">
        <f t="shared" si="66"/>
        <v>1.3224489795224099</v>
      </c>
      <c r="P340" s="37">
        <f t="shared" si="67"/>
        <v>1.2691104030773415</v>
      </c>
      <c r="Q340" s="39">
        <f t="shared" si="68"/>
        <v>8.0369572111184002</v>
      </c>
    </row>
    <row r="341" spans="2:17" customFormat="1" x14ac:dyDescent="0.25">
      <c r="B341" s="41" t="s">
        <v>1071</v>
      </c>
      <c r="C341" s="3" t="s">
        <v>483</v>
      </c>
      <c r="D341" s="3">
        <v>8.25</v>
      </c>
      <c r="E341" s="3">
        <v>13.678229358050345</v>
      </c>
      <c r="F341" s="3">
        <v>900</v>
      </c>
      <c r="G341" s="4">
        <v>15.69</v>
      </c>
      <c r="H341" s="7"/>
      <c r="I341" s="38">
        <f t="shared" si="69"/>
        <v>14.895996536278243</v>
      </c>
      <c r="J341" s="37">
        <f t="shared" si="70"/>
        <v>11.800000000715432</v>
      </c>
      <c r="K341" s="37">
        <f t="shared" si="71"/>
        <v>14.130633475681075</v>
      </c>
      <c r="L341" s="39">
        <f t="shared" si="72"/>
        <v>63.507613653134129</v>
      </c>
      <c r="M341" s="117"/>
      <c r="N341" s="38">
        <f t="shared" si="65"/>
        <v>1.8055753377306962</v>
      </c>
      <c r="O341" s="37">
        <f t="shared" si="66"/>
        <v>1.4303030303897493</v>
      </c>
      <c r="P341" s="37">
        <f t="shared" si="67"/>
        <v>1.7128040576583121</v>
      </c>
      <c r="Q341" s="39">
        <f t="shared" si="68"/>
        <v>7.6978925640162581</v>
      </c>
    </row>
    <row r="342" spans="2:17" customFormat="1" x14ac:dyDescent="0.25">
      <c r="B342" s="41" t="s">
        <v>1071</v>
      </c>
      <c r="C342" s="3" t="s">
        <v>484</v>
      </c>
      <c r="D342" s="3">
        <v>8.25</v>
      </c>
      <c r="E342" s="3">
        <v>14.605566941646973</v>
      </c>
      <c r="F342" s="3">
        <v>1120</v>
      </c>
      <c r="G342" s="4">
        <v>17.41</v>
      </c>
      <c r="H342" s="7"/>
      <c r="I342" s="38">
        <f t="shared" si="69"/>
        <v>14.95447422681033</v>
      </c>
      <c r="J342" s="37">
        <f t="shared" si="70"/>
        <v>12.600000000763931</v>
      </c>
      <c r="K342" s="37">
        <f t="shared" si="71"/>
        <v>18.677171166470433</v>
      </c>
      <c r="L342" s="39">
        <f t="shared" si="72"/>
        <v>89.221117910099522</v>
      </c>
      <c r="M342" s="117"/>
      <c r="N342" s="38">
        <f t="shared" si="65"/>
        <v>1.8126635426436764</v>
      </c>
      <c r="O342" s="37">
        <f t="shared" si="66"/>
        <v>1.527272727365325</v>
      </c>
      <c r="P342" s="37">
        <f t="shared" si="67"/>
        <v>2.2638995353297493</v>
      </c>
      <c r="Q342" s="39">
        <f t="shared" si="68"/>
        <v>10.814680958799942</v>
      </c>
    </row>
    <row r="343" spans="2:17" customFormat="1" x14ac:dyDescent="0.25">
      <c r="B343" s="41" t="s">
        <v>1071</v>
      </c>
      <c r="C343" s="3" t="s">
        <v>485</v>
      </c>
      <c r="D343" s="3">
        <v>8.25</v>
      </c>
      <c r="E343" s="3">
        <v>9.9109204246890208</v>
      </c>
      <c r="F343" s="3">
        <v>980</v>
      </c>
      <c r="G343" s="4">
        <v>22.33</v>
      </c>
      <c r="H343" s="7"/>
      <c r="I343" s="38">
        <f t="shared" si="69"/>
        <v>11.85675709847723</v>
      </c>
      <c r="J343" s="37">
        <f t="shared" si="70"/>
        <v>8.550000000518386</v>
      </c>
      <c r="K343" s="37">
        <f t="shared" si="71"/>
        <v>10.339315204364009</v>
      </c>
      <c r="L343" s="39">
        <f t="shared" si="72"/>
        <v>33.944839296611789</v>
      </c>
      <c r="M343" s="117"/>
      <c r="N343" s="38">
        <f t="shared" si="65"/>
        <v>1.4371826786033006</v>
      </c>
      <c r="O343" s="37">
        <f t="shared" si="66"/>
        <v>1.036363636426471</v>
      </c>
      <c r="P343" s="37">
        <f t="shared" si="67"/>
        <v>1.2532503278016982</v>
      </c>
      <c r="Q343" s="39">
        <f t="shared" si="68"/>
        <v>4.1145259753468837</v>
      </c>
    </row>
    <row r="344" spans="2:17" customFormat="1" x14ac:dyDescent="0.25">
      <c r="B344" s="41" t="s">
        <v>1071</v>
      </c>
      <c r="C344" s="3" t="s">
        <v>486</v>
      </c>
      <c r="D344" s="3">
        <v>10.666666666666666</v>
      </c>
      <c r="E344" s="3">
        <v>17.501508303872466</v>
      </c>
      <c r="F344" s="3">
        <v>540</v>
      </c>
      <c r="G344" s="4">
        <v>28.23</v>
      </c>
      <c r="H344" s="7"/>
      <c r="I344" s="38">
        <f t="shared" si="69"/>
        <v>23.49620994115698</v>
      </c>
      <c r="J344" s="37">
        <f t="shared" si="70"/>
        <v>18.27999999967345</v>
      </c>
      <c r="K344" s="37">
        <f t="shared" si="71"/>
        <v>21.087948748867564</v>
      </c>
      <c r="L344" s="39">
        <f t="shared" si="72"/>
        <v>159.29052663111526</v>
      </c>
      <c r="M344" s="117"/>
      <c r="N344" s="38">
        <f t="shared" si="65"/>
        <v>2.202769681983467</v>
      </c>
      <c r="O344" s="37">
        <f t="shared" si="66"/>
        <v>1.7137499999693859</v>
      </c>
      <c r="P344" s="37">
        <f t="shared" si="67"/>
        <v>1.9769951952063343</v>
      </c>
      <c r="Q344" s="39">
        <f t="shared" si="68"/>
        <v>14.933486871667055</v>
      </c>
    </row>
    <row r="345" spans="2:17" customFormat="1" x14ac:dyDescent="0.25">
      <c r="B345" s="41" t="s">
        <v>1072</v>
      </c>
      <c r="C345" s="3" t="s">
        <v>487</v>
      </c>
      <c r="D345" s="3">
        <v>11.583333333333334</v>
      </c>
      <c r="E345" s="3">
        <v>15.610027246845609</v>
      </c>
      <c r="F345" s="3">
        <v>600</v>
      </c>
      <c r="G345" s="4">
        <v>21.11</v>
      </c>
      <c r="H345" s="7"/>
      <c r="I345" s="38">
        <f t="shared" ref="I345:I376" si="73">EXP(2.426552 -6.706013/D345+ 0.075921*E345+ 0.00004*F345)</f>
        <v>21.258238290668402</v>
      </c>
      <c r="J345" s="37">
        <f t="shared" ref="J345:J376" si="74">EXP(LN(E345) -6.498108 * (1/D345- 0.1))</f>
        <v>17.059999947606421</v>
      </c>
      <c r="K345" s="37">
        <f t="shared" ref="K345:K376" si="75">EXP(1.060976 -13.35596/D345+ 0.15187*E345+ 0.001278*F345)</f>
        <v>21.019242338170645</v>
      </c>
      <c r="L345" s="39">
        <f t="shared" ref="L345:L376" si="76">EXP(2.246512 -20.855741/D345+ 0.242321*E345+ 0.001267*F345)</f>
        <v>146.76809948177578</v>
      </c>
      <c r="M345" s="117"/>
      <c r="N345" s="38">
        <f t="shared" si="65"/>
        <v>1.8352435934389986</v>
      </c>
      <c r="O345" s="37">
        <f t="shared" si="66"/>
        <v>1.4728057508724968</v>
      </c>
      <c r="P345" s="37">
        <f t="shared" si="67"/>
        <v>1.8146108493384729</v>
      </c>
      <c r="Q345" s="39">
        <f t="shared" si="68"/>
        <v>12.670627293390714</v>
      </c>
    </row>
    <row r="346" spans="2:17" customFormat="1" x14ac:dyDescent="0.25">
      <c r="B346" s="41" t="s">
        <v>1072</v>
      </c>
      <c r="C346" s="3" t="s">
        <v>488</v>
      </c>
      <c r="D346" s="3">
        <v>11.583333333333334</v>
      </c>
      <c r="E346" s="3">
        <v>16.104131274588678</v>
      </c>
      <c r="F346" s="3">
        <v>600</v>
      </c>
      <c r="G346" s="4">
        <v>21.99</v>
      </c>
      <c r="H346" s="7"/>
      <c r="I346" s="38">
        <f t="shared" si="73"/>
        <v>22.070842121825979</v>
      </c>
      <c r="J346" s="37">
        <f t="shared" si="74"/>
        <v>17.599999945948014</v>
      </c>
      <c r="K346" s="37">
        <f t="shared" si="75"/>
        <v>22.657204904736506</v>
      </c>
      <c r="L346" s="39">
        <f t="shared" si="76"/>
        <v>165.43619117998028</v>
      </c>
      <c r="M346" s="117"/>
      <c r="N346" s="38">
        <f t="shared" si="65"/>
        <v>1.9053964421720269</v>
      </c>
      <c r="O346" s="37">
        <f t="shared" si="66"/>
        <v>1.5194244557652961</v>
      </c>
      <c r="P346" s="37">
        <f t="shared" si="67"/>
        <v>1.9560176896175401</v>
      </c>
      <c r="Q346" s="39">
        <f t="shared" si="68"/>
        <v>14.282261109063045</v>
      </c>
    </row>
    <row r="347" spans="2:17" customFormat="1" x14ac:dyDescent="0.25">
      <c r="B347" s="41" t="s">
        <v>1072</v>
      </c>
      <c r="C347" s="3" t="s">
        <v>489</v>
      </c>
      <c r="D347" s="3">
        <v>11.583333333333334</v>
      </c>
      <c r="E347" s="3">
        <v>16.67143589903441</v>
      </c>
      <c r="F347" s="3">
        <v>580</v>
      </c>
      <c r="G347" s="4">
        <v>20.75</v>
      </c>
      <c r="H347" s="7"/>
      <c r="I347" s="38">
        <f t="shared" si="73"/>
        <v>23.023782669312997</v>
      </c>
      <c r="J347" s="37">
        <f t="shared" si="74"/>
        <v>18.219999944043906</v>
      </c>
      <c r="K347" s="37">
        <f t="shared" si="75"/>
        <v>24.072604519854991</v>
      </c>
      <c r="L347" s="39">
        <f t="shared" si="76"/>
        <v>185.06653195042497</v>
      </c>
      <c r="M347" s="117"/>
      <c r="N347" s="38">
        <f t="shared" si="65"/>
        <v>1.9876646908759421</v>
      </c>
      <c r="O347" s="37">
        <f t="shared" si="66"/>
        <v>1.5729496354570278</v>
      </c>
      <c r="P347" s="37">
        <f t="shared" si="67"/>
        <v>2.0782104621457544</v>
      </c>
      <c r="Q347" s="39">
        <f t="shared" si="68"/>
        <v>15.976966787087047</v>
      </c>
    </row>
    <row r="348" spans="2:17" customFormat="1" x14ac:dyDescent="0.25">
      <c r="B348" s="41" t="s">
        <v>1072</v>
      </c>
      <c r="C348" s="3" t="s">
        <v>490</v>
      </c>
      <c r="D348" s="3">
        <v>10.5</v>
      </c>
      <c r="E348" s="3">
        <v>15.745174891425636</v>
      </c>
      <c r="F348" s="3">
        <v>580</v>
      </c>
      <c r="G348" s="4">
        <v>19.73</v>
      </c>
      <c r="H348" s="7"/>
      <c r="I348" s="38">
        <f t="shared" si="73"/>
        <v>20.215982777676071</v>
      </c>
      <c r="J348" s="37">
        <f t="shared" si="74"/>
        <v>16.239999982624916</v>
      </c>
      <c r="K348" s="37">
        <f t="shared" si="75"/>
        <v>18.56799723917042</v>
      </c>
      <c r="L348" s="39">
        <f t="shared" si="76"/>
        <v>122.79268889390826</v>
      </c>
      <c r="M348" s="117"/>
      <c r="N348" s="38">
        <f t="shared" si="65"/>
        <v>1.9253316931120068</v>
      </c>
      <c r="O348" s="37">
        <f t="shared" si="66"/>
        <v>1.5466666650118968</v>
      </c>
      <c r="P348" s="37">
        <f t="shared" si="67"/>
        <v>1.768380689444802</v>
      </c>
      <c r="Q348" s="39">
        <f t="shared" si="68"/>
        <v>11.694541799419834</v>
      </c>
    </row>
    <row r="349" spans="2:17" customFormat="1" x14ac:dyDescent="0.25">
      <c r="B349" s="41" t="s">
        <v>1072</v>
      </c>
      <c r="C349" s="3" t="s">
        <v>491</v>
      </c>
      <c r="D349" s="3">
        <v>11.583333333333334</v>
      </c>
      <c r="E349" s="3">
        <v>16.561635003980399</v>
      </c>
      <c r="F349" s="3">
        <v>520</v>
      </c>
      <c r="G349" s="4">
        <v>21.51</v>
      </c>
      <c r="H349" s="7"/>
      <c r="I349" s="38">
        <f t="shared" si="73"/>
        <v>22.777917069651348</v>
      </c>
      <c r="J349" s="37">
        <f t="shared" si="74"/>
        <v>18.099999944412446</v>
      </c>
      <c r="K349" s="37">
        <f t="shared" si="75"/>
        <v>21.927005172635322</v>
      </c>
      <c r="L349" s="39">
        <f t="shared" si="76"/>
        <v>167.01578516571962</v>
      </c>
      <c r="M349" s="117"/>
      <c r="N349" s="38">
        <f t="shared" si="65"/>
        <v>1.9664388837109077</v>
      </c>
      <c r="O349" s="37">
        <f t="shared" si="66"/>
        <v>1.5625899232586282</v>
      </c>
      <c r="P349" s="37">
        <f t="shared" si="67"/>
        <v>1.8929788638246321</v>
      </c>
      <c r="Q349" s="39">
        <f t="shared" si="68"/>
        <v>14.418628935170039</v>
      </c>
    </row>
    <row r="350" spans="2:17" customFormat="1" x14ac:dyDescent="0.25">
      <c r="B350" s="41" t="s">
        <v>1072</v>
      </c>
      <c r="C350" s="3" t="s">
        <v>492</v>
      </c>
      <c r="D350" s="3">
        <v>11.583333333333334</v>
      </c>
      <c r="E350" s="3">
        <v>16.945938136669444</v>
      </c>
      <c r="F350" s="3">
        <v>580</v>
      </c>
      <c r="G350" s="4">
        <v>19.66</v>
      </c>
      <c r="H350" s="7"/>
      <c r="I350" s="38">
        <f t="shared" si="73"/>
        <v>23.508644279019546</v>
      </c>
      <c r="J350" s="37">
        <f t="shared" si="74"/>
        <v>18.51999994312256</v>
      </c>
      <c r="K350" s="37">
        <f t="shared" si="75"/>
        <v>25.097371181057966</v>
      </c>
      <c r="L350" s="39">
        <f t="shared" si="76"/>
        <v>197.79537749332914</v>
      </c>
      <c r="M350" s="117"/>
      <c r="N350" s="38">
        <f t="shared" si="65"/>
        <v>2.029523247109601</v>
      </c>
      <c r="O350" s="37">
        <f t="shared" si="66"/>
        <v>1.5988489159530266</v>
      </c>
      <c r="P350" s="37">
        <f t="shared" si="67"/>
        <v>2.1666795264222705</v>
      </c>
      <c r="Q350" s="39">
        <f t="shared" si="68"/>
        <v>17.075859927481652</v>
      </c>
    </row>
    <row r="351" spans="2:17" customFormat="1" x14ac:dyDescent="0.25">
      <c r="B351" s="41" t="s">
        <v>1072</v>
      </c>
      <c r="C351" s="3" t="s">
        <v>493</v>
      </c>
      <c r="D351" s="3">
        <v>11.583333333333334</v>
      </c>
      <c r="E351" s="3">
        <v>15.244024263332236</v>
      </c>
      <c r="F351" s="3">
        <v>620</v>
      </c>
      <c r="G351" s="4">
        <v>18.29</v>
      </c>
      <c r="H351" s="7"/>
      <c r="I351" s="38">
        <f t="shared" si="73"/>
        <v>20.692207745711325</v>
      </c>
      <c r="J351" s="37">
        <f t="shared" si="74"/>
        <v>16.65999994883488</v>
      </c>
      <c r="K351" s="37">
        <f t="shared" si="75"/>
        <v>20.397522489599051</v>
      </c>
      <c r="L351" s="39">
        <f t="shared" si="76"/>
        <v>137.75869637450316</v>
      </c>
      <c r="M351" s="117"/>
      <c r="N351" s="38">
        <f t="shared" si="65"/>
        <v>1.7863776471117689</v>
      </c>
      <c r="O351" s="37">
        <f t="shared" si="66"/>
        <v>1.4382733768778313</v>
      </c>
      <c r="P351" s="37">
        <f t="shared" si="67"/>
        <v>1.7609371933466806</v>
      </c>
      <c r="Q351" s="39">
        <f t="shared" si="68"/>
        <v>11.89283709707941</v>
      </c>
    </row>
    <row r="352" spans="2:17" customFormat="1" x14ac:dyDescent="0.25">
      <c r="B352" s="41" t="s">
        <v>1072</v>
      </c>
      <c r="C352" s="3" t="s">
        <v>494</v>
      </c>
      <c r="D352" s="3">
        <v>10</v>
      </c>
      <c r="E352" s="3">
        <v>14.16</v>
      </c>
      <c r="F352" s="3">
        <v>560</v>
      </c>
      <c r="G352" s="4">
        <v>15.53</v>
      </c>
      <c r="H352" s="7"/>
      <c r="I352" s="38">
        <f t="shared" si="73"/>
        <v>17.346522603611163</v>
      </c>
      <c r="J352" s="37">
        <f t="shared" si="74"/>
        <v>14.16</v>
      </c>
      <c r="K352" s="37">
        <f t="shared" si="75"/>
        <v>13.350304585777018</v>
      </c>
      <c r="L352" s="39">
        <f t="shared" si="76"/>
        <v>73.826907099348674</v>
      </c>
      <c r="M352" s="117"/>
      <c r="N352" s="38">
        <f t="shared" si="65"/>
        <v>1.7346522603611163</v>
      </c>
      <c r="O352" s="37">
        <f t="shared" si="66"/>
        <v>1.4159999999999999</v>
      </c>
      <c r="P352" s="37">
        <f t="shared" si="67"/>
        <v>1.3350304585777018</v>
      </c>
      <c r="Q352" s="39">
        <f t="shared" si="68"/>
        <v>7.3826907099348675</v>
      </c>
    </row>
    <row r="353" spans="2:17" customFormat="1" x14ac:dyDescent="0.25">
      <c r="B353" s="41" t="s">
        <v>1072</v>
      </c>
      <c r="C353" s="3" t="s">
        <v>495</v>
      </c>
      <c r="D353" s="3">
        <v>11.583333333333334</v>
      </c>
      <c r="E353" s="3">
        <v>15.793028738602301</v>
      </c>
      <c r="F353" s="3">
        <v>660</v>
      </c>
      <c r="G353" s="4">
        <v>21.24</v>
      </c>
      <c r="H353" s="7"/>
      <c r="I353" s="38">
        <f t="shared" si="73"/>
        <v>21.607449959638711</v>
      </c>
      <c r="J353" s="37">
        <f t="shared" si="74"/>
        <v>17.259999946992195</v>
      </c>
      <c r="K353" s="37">
        <f t="shared" si="75"/>
        <v>23.333982082860917</v>
      </c>
      <c r="L353" s="39">
        <f t="shared" si="76"/>
        <v>165.54099880686522</v>
      </c>
      <c r="M353" s="117"/>
      <c r="N353" s="38">
        <f t="shared" si="65"/>
        <v>1.8653913634220469</v>
      </c>
      <c r="O353" s="37">
        <f t="shared" si="66"/>
        <v>1.4900719378698297</v>
      </c>
      <c r="P353" s="37">
        <f t="shared" si="67"/>
        <v>2.0144444963620933</v>
      </c>
      <c r="Q353" s="39">
        <f t="shared" si="68"/>
        <v>14.291309249513544</v>
      </c>
    </row>
    <row r="354" spans="2:17" customFormat="1" x14ac:dyDescent="0.25">
      <c r="B354" s="41" t="s">
        <v>1072</v>
      </c>
      <c r="C354" s="3" t="s">
        <v>496</v>
      </c>
      <c r="D354" s="3">
        <v>11.583333333333334</v>
      </c>
      <c r="E354" s="3">
        <v>16.012630528710332</v>
      </c>
      <c r="F354" s="3">
        <v>700</v>
      </c>
      <c r="G354" s="4">
        <v>18.829999999999998</v>
      </c>
      <c r="H354" s="7"/>
      <c r="I354" s="38">
        <f t="shared" si="73"/>
        <v>22.005898878740357</v>
      </c>
      <c r="J354" s="37">
        <f t="shared" si="74"/>
        <v>17.499999946255127</v>
      </c>
      <c r="K354" s="37">
        <f t="shared" si="75"/>
        <v>25.390667377127141</v>
      </c>
      <c r="L354" s="39">
        <f t="shared" si="76"/>
        <v>183.66492110026351</v>
      </c>
      <c r="M354" s="117"/>
      <c r="N354" s="38">
        <f t="shared" si="65"/>
        <v>1.8997898312581603</v>
      </c>
      <c r="O354" s="37">
        <f t="shared" si="66"/>
        <v>1.5107913622666296</v>
      </c>
      <c r="P354" s="37">
        <f t="shared" si="67"/>
        <v>2.192000061334717</v>
      </c>
      <c r="Q354" s="39">
        <f t="shared" si="68"/>
        <v>15.85596441153354</v>
      </c>
    </row>
    <row r="355" spans="2:17" customFormat="1" x14ac:dyDescent="0.25">
      <c r="B355" s="41" t="s">
        <v>1072</v>
      </c>
      <c r="C355" s="3" t="s">
        <v>497</v>
      </c>
      <c r="D355" s="3">
        <v>8.5</v>
      </c>
      <c r="E355" s="3">
        <v>15.34220320214445</v>
      </c>
      <c r="F355" s="3">
        <v>420</v>
      </c>
      <c r="G355" s="4">
        <v>15.73</v>
      </c>
      <c r="H355" s="7"/>
      <c r="I355" s="38">
        <f t="shared" si="73"/>
        <v>16.763513404550171</v>
      </c>
      <c r="J355" s="37">
        <f t="shared" si="74"/>
        <v>13.680000054239871</v>
      </c>
      <c r="K355" s="37">
        <f t="shared" si="75"/>
        <v>10.553599520886452</v>
      </c>
      <c r="L355" s="39">
        <f t="shared" si="76"/>
        <v>56.984165666148478</v>
      </c>
      <c r="M355" s="117"/>
      <c r="N355" s="38">
        <f t="shared" si="65"/>
        <v>1.9721780475941377</v>
      </c>
      <c r="O355" s="37">
        <f t="shared" si="66"/>
        <v>1.6094117710870437</v>
      </c>
      <c r="P355" s="37">
        <f t="shared" si="67"/>
        <v>1.2415999436337002</v>
      </c>
      <c r="Q355" s="39">
        <f t="shared" si="68"/>
        <v>6.7040194901351153</v>
      </c>
    </row>
    <row r="356" spans="2:17" customFormat="1" x14ac:dyDescent="0.25">
      <c r="B356" s="41" t="s">
        <v>1072</v>
      </c>
      <c r="C356" s="3" t="s">
        <v>498</v>
      </c>
      <c r="D356" s="3">
        <v>11.583333333333334</v>
      </c>
      <c r="E356" s="3">
        <v>13.871513075157065</v>
      </c>
      <c r="F356" s="3">
        <v>700</v>
      </c>
      <c r="G356" s="4">
        <v>17.82</v>
      </c>
      <c r="H356" s="7"/>
      <c r="I356" s="38">
        <f t="shared" si="73"/>
        <v>18.704324804299773</v>
      </c>
      <c r="J356" s="37">
        <f t="shared" si="74"/>
        <v>15.159999953441584</v>
      </c>
      <c r="K356" s="37">
        <f t="shared" si="75"/>
        <v>18.342305591302772</v>
      </c>
      <c r="L356" s="39">
        <f t="shared" si="76"/>
        <v>109.31955538837306</v>
      </c>
      <c r="M356" s="117"/>
      <c r="N356" s="38">
        <f t="shared" si="65"/>
        <v>1.6147618536086135</v>
      </c>
      <c r="O356" s="37">
        <f t="shared" si="66"/>
        <v>1.3087769743978346</v>
      </c>
      <c r="P356" s="37">
        <f t="shared" si="67"/>
        <v>1.5835083963714622</v>
      </c>
      <c r="Q356" s="39">
        <f t="shared" si="68"/>
        <v>9.4376594579890405</v>
      </c>
    </row>
    <row r="357" spans="2:17" customFormat="1" x14ac:dyDescent="0.25">
      <c r="B357" s="41" t="s">
        <v>1072</v>
      </c>
      <c r="C357" s="3" t="s">
        <v>499</v>
      </c>
      <c r="D357" s="3">
        <v>11.583333333333334</v>
      </c>
      <c r="E357" s="3">
        <v>15.006122324048539</v>
      </c>
      <c r="F357" s="3">
        <v>420</v>
      </c>
      <c r="G357" s="4">
        <v>16.3</v>
      </c>
      <c r="H357" s="7"/>
      <c r="I357" s="38">
        <f t="shared" si="73"/>
        <v>20.159899112762105</v>
      </c>
      <c r="J357" s="37">
        <f t="shared" si="74"/>
        <v>16.399999949633376</v>
      </c>
      <c r="K357" s="37">
        <f t="shared" si="75"/>
        <v>15.236338711491436</v>
      </c>
      <c r="L357" s="39">
        <f t="shared" si="76"/>
        <v>100.93279928550822</v>
      </c>
      <c r="M357" s="117"/>
      <c r="N357" s="38">
        <f t="shared" si="65"/>
        <v>1.7404229449866564</v>
      </c>
      <c r="O357" s="37">
        <f t="shared" si="66"/>
        <v>1.4158273337812985</v>
      </c>
      <c r="P357" s="37">
        <f t="shared" si="67"/>
        <v>1.315367370776239</v>
      </c>
      <c r="Q357" s="39">
        <f t="shared" si="68"/>
        <v>8.7136229598999897</v>
      </c>
    </row>
    <row r="358" spans="2:17" customFormat="1" x14ac:dyDescent="0.25">
      <c r="B358" s="41" t="s">
        <v>1072</v>
      </c>
      <c r="C358" s="3" t="s">
        <v>500</v>
      </c>
      <c r="D358" s="3">
        <v>11.583333333333334</v>
      </c>
      <c r="E358" s="3">
        <v>13.450609644116676</v>
      </c>
      <c r="F358" s="3">
        <v>420</v>
      </c>
      <c r="G358" s="4">
        <v>18.010000000000002</v>
      </c>
      <c r="H358" s="7"/>
      <c r="I358" s="38">
        <f t="shared" si="73"/>
        <v>17.914301506573125</v>
      </c>
      <c r="J358" s="37">
        <f t="shared" si="74"/>
        <v>14.699999954854302</v>
      </c>
      <c r="K358" s="37">
        <f t="shared" si="75"/>
        <v>12.030529796983696</v>
      </c>
      <c r="L358" s="39">
        <f t="shared" si="76"/>
        <v>69.236041202948812</v>
      </c>
      <c r="M358" s="117"/>
      <c r="N358" s="38">
        <f t="shared" si="65"/>
        <v>1.5465584034451618</v>
      </c>
      <c r="O358" s="37">
        <f t="shared" si="66"/>
        <v>1.2690647443039684</v>
      </c>
      <c r="P358" s="37">
        <f t="shared" si="67"/>
        <v>1.0386068889482327</v>
      </c>
      <c r="Q358" s="39">
        <f t="shared" si="68"/>
        <v>5.9772121901826312</v>
      </c>
    </row>
    <row r="359" spans="2:17" customFormat="1" x14ac:dyDescent="0.25">
      <c r="B359" s="41" t="s">
        <v>1072</v>
      </c>
      <c r="C359" s="3" t="s">
        <v>501</v>
      </c>
      <c r="D359" s="3">
        <v>11.583333333333334</v>
      </c>
      <c r="E359" s="3">
        <v>13.304208450711325</v>
      </c>
      <c r="F359" s="3">
        <v>560</v>
      </c>
      <c r="G359" s="4">
        <v>17.98</v>
      </c>
      <c r="H359" s="7"/>
      <c r="I359" s="38">
        <f t="shared" si="73"/>
        <v>17.815777403488195</v>
      </c>
      <c r="J359" s="37">
        <f t="shared" si="74"/>
        <v>14.539999955345685</v>
      </c>
      <c r="K359" s="37">
        <f t="shared" si="75"/>
        <v>14.071248743958643</v>
      </c>
      <c r="L359" s="39">
        <f t="shared" si="76"/>
        <v>79.792177240711936</v>
      </c>
      <c r="M359" s="117"/>
      <c r="N359" s="38">
        <f t="shared" si="65"/>
        <v>1.538052725480995</v>
      </c>
      <c r="O359" s="37">
        <f t="shared" si="66"/>
        <v>1.2552517947061022</v>
      </c>
      <c r="P359" s="37">
        <f t="shared" si="67"/>
        <v>1.2147840642266454</v>
      </c>
      <c r="Q359" s="39">
        <f t="shared" si="68"/>
        <v>6.8885332869679363</v>
      </c>
    </row>
    <row r="360" spans="2:17" customFormat="1" x14ac:dyDescent="0.25">
      <c r="B360" s="41" t="s">
        <v>1072</v>
      </c>
      <c r="C360" s="3" t="s">
        <v>502</v>
      </c>
      <c r="D360" s="3">
        <v>11.583333333333334</v>
      </c>
      <c r="E360" s="3">
        <v>13.54211038999502</v>
      </c>
      <c r="F360" s="3">
        <v>420</v>
      </c>
      <c r="G360" s="4">
        <v>18.489999999999998</v>
      </c>
      <c r="H360" s="7"/>
      <c r="I360" s="38">
        <f t="shared" si="73"/>
        <v>18.039182340803087</v>
      </c>
      <c r="J360" s="37">
        <f t="shared" si="74"/>
        <v>14.799999954547188</v>
      </c>
      <c r="K360" s="37">
        <f t="shared" si="75"/>
        <v>12.198875641299345</v>
      </c>
      <c r="L360" s="39">
        <f t="shared" si="76"/>
        <v>70.78832641170743</v>
      </c>
      <c r="M360" s="117"/>
      <c r="N360" s="38">
        <f t="shared" si="65"/>
        <v>1.5573394826592593</v>
      </c>
      <c r="O360" s="37">
        <f t="shared" si="66"/>
        <v>1.2776978378026349</v>
      </c>
      <c r="P360" s="37">
        <f t="shared" si="67"/>
        <v>1.0531403431337565</v>
      </c>
      <c r="Q360" s="39">
        <f t="shared" si="68"/>
        <v>6.1112224240322961</v>
      </c>
    </row>
    <row r="361" spans="2:17" customFormat="1" x14ac:dyDescent="0.25">
      <c r="B361" s="41" t="s">
        <v>1072</v>
      </c>
      <c r="C361" s="3" t="s">
        <v>503</v>
      </c>
      <c r="D361" s="3">
        <v>11.583333333333334</v>
      </c>
      <c r="E361" s="3">
        <v>16.817837092439763</v>
      </c>
      <c r="F361" s="3">
        <v>540</v>
      </c>
      <c r="G361" s="4">
        <v>21.95</v>
      </c>
      <c r="H361" s="7"/>
      <c r="I361" s="38">
        <f t="shared" si="73"/>
        <v>23.243897763386173</v>
      </c>
      <c r="J361" s="37">
        <f t="shared" si="74"/>
        <v>18.379999943552523</v>
      </c>
      <c r="K361" s="37">
        <f t="shared" si="75"/>
        <v>23.387189173841353</v>
      </c>
      <c r="L361" s="39">
        <f t="shared" si="76"/>
        <v>182.27407777929488</v>
      </c>
      <c r="M361" s="117"/>
      <c r="N361" s="38">
        <f t="shared" si="65"/>
        <v>2.0066674328103171</v>
      </c>
      <c r="O361" s="37">
        <f t="shared" si="66"/>
        <v>1.5867625850548941</v>
      </c>
      <c r="P361" s="37">
        <f t="shared" si="67"/>
        <v>2.0190379142884622</v>
      </c>
      <c r="Q361" s="39">
        <f t="shared" si="68"/>
        <v>15.7358916068456</v>
      </c>
    </row>
    <row r="362" spans="2:17" customFormat="1" x14ac:dyDescent="0.25">
      <c r="B362" s="41" t="s">
        <v>1072</v>
      </c>
      <c r="C362" s="3" t="s">
        <v>504</v>
      </c>
      <c r="D362" s="3">
        <v>11.583333333333334</v>
      </c>
      <c r="E362" s="3">
        <v>15.18912381580523</v>
      </c>
      <c r="F362" s="3">
        <v>580</v>
      </c>
      <c r="G362" s="4">
        <v>19.96</v>
      </c>
      <c r="H362" s="7"/>
      <c r="I362" s="38">
        <f t="shared" si="73"/>
        <v>20.573196650571802</v>
      </c>
      <c r="J362" s="37">
        <f t="shared" si="74"/>
        <v>16.59999994901915</v>
      </c>
      <c r="K362" s="37">
        <f t="shared" si="75"/>
        <v>19.220082884095067</v>
      </c>
      <c r="L362" s="39">
        <f t="shared" si="76"/>
        <v>129.22047399797697</v>
      </c>
      <c r="M362" s="117"/>
      <c r="N362" s="38">
        <f t="shared" si="65"/>
        <v>1.7761033079630333</v>
      </c>
      <c r="O362" s="37">
        <f t="shared" si="66"/>
        <v>1.4330935207786315</v>
      </c>
      <c r="P362" s="37">
        <f t="shared" si="67"/>
        <v>1.6592877310010128</v>
      </c>
      <c r="Q362" s="39">
        <f t="shared" si="68"/>
        <v>11.155724373926068</v>
      </c>
    </row>
    <row r="363" spans="2:17" customFormat="1" x14ac:dyDescent="0.25">
      <c r="B363" s="41" t="s">
        <v>1072</v>
      </c>
      <c r="C363" s="3" t="s">
        <v>505</v>
      </c>
      <c r="D363" s="3">
        <v>11.583333333333334</v>
      </c>
      <c r="E363" s="3">
        <v>13.57871068834636</v>
      </c>
      <c r="F363" s="3">
        <v>340</v>
      </c>
      <c r="G363" s="4">
        <v>18.07</v>
      </c>
      <c r="H363" s="7"/>
      <c r="I363" s="38">
        <f t="shared" si="73"/>
        <v>18.031584597486052</v>
      </c>
      <c r="J363" s="37">
        <f t="shared" si="74"/>
        <v>14.839999954424345</v>
      </c>
      <c r="K363" s="37">
        <f t="shared" si="75"/>
        <v>11.074689442774334</v>
      </c>
      <c r="L363" s="39">
        <f t="shared" si="76"/>
        <v>64.534704077007262</v>
      </c>
      <c r="M363" s="117"/>
      <c r="N363" s="38">
        <f t="shared" si="65"/>
        <v>1.5566835623728965</v>
      </c>
      <c r="O363" s="37">
        <f t="shared" si="66"/>
        <v>1.2811510752021016</v>
      </c>
      <c r="P363" s="37">
        <f t="shared" si="67"/>
        <v>0.9560882972179281</v>
      </c>
      <c r="Q363" s="39">
        <f t="shared" si="68"/>
        <v>5.5713413591660945</v>
      </c>
    </row>
    <row r="364" spans="2:17" customFormat="1" x14ac:dyDescent="0.25">
      <c r="B364" s="41" t="s">
        <v>1072</v>
      </c>
      <c r="C364" s="3" t="s">
        <v>506</v>
      </c>
      <c r="D364" s="3">
        <v>11.583333333333334</v>
      </c>
      <c r="E364" s="3">
        <v>10.961789356225701</v>
      </c>
      <c r="F364" s="3">
        <v>380</v>
      </c>
      <c r="G364" s="4">
        <v>15.16</v>
      </c>
      <c r="H364" s="7"/>
      <c r="I364" s="38">
        <f t="shared" si="73"/>
        <v>14.806194427633429</v>
      </c>
      <c r="J364" s="37">
        <f t="shared" si="74"/>
        <v>11.979999963207794</v>
      </c>
      <c r="K364" s="37">
        <f t="shared" si="75"/>
        <v>7.8330380148889214</v>
      </c>
      <c r="L364" s="39">
        <f t="shared" si="76"/>
        <v>36.008251938056972</v>
      </c>
      <c r="M364" s="117"/>
      <c r="N364" s="38">
        <f t="shared" si="65"/>
        <v>1.278232612457562</v>
      </c>
      <c r="O364" s="37">
        <f t="shared" si="66"/>
        <v>1.0342446011402411</v>
      </c>
      <c r="P364" s="37">
        <f t="shared" si="67"/>
        <v>0.67623349768825214</v>
      </c>
      <c r="Q364" s="39">
        <f t="shared" si="68"/>
        <v>3.1086260665948462</v>
      </c>
    </row>
    <row r="365" spans="2:17" customFormat="1" x14ac:dyDescent="0.25">
      <c r="B365" s="41" t="s">
        <v>1072</v>
      </c>
      <c r="C365" s="3" t="s">
        <v>507</v>
      </c>
      <c r="D365" s="3">
        <v>9.5</v>
      </c>
      <c r="E365" s="3">
        <v>17.591466273982196</v>
      </c>
      <c r="F365" s="3">
        <v>540</v>
      </c>
      <c r="G365" s="4">
        <v>22.08</v>
      </c>
      <c r="H365" s="7"/>
      <c r="I365" s="38">
        <f t="shared" si="73"/>
        <v>21.710968761622208</v>
      </c>
      <c r="J365" s="37">
        <f t="shared" si="74"/>
        <v>17.000000020102757</v>
      </c>
      <c r="K365" s="37">
        <f t="shared" si="75"/>
        <v>20.42626263016767</v>
      </c>
      <c r="L365" s="39">
        <f t="shared" si="76"/>
        <v>148.13626225241282</v>
      </c>
      <c r="M365" s="117"/>
      <c r="N365" s="38">
        <f t="shared" si="65"/>
        <v>2.2853651328023377</v>
      </c>
      <c r="O365" s="37">
        <f t="shared" si="66"/>
        <v>1.7894736863266061</v>
      </c>
      <c r="P365" s="37">
        <f t="shared" si="67"/>
        <v>2.1501329084387022</v>
      </c>
      <c r="Q365" s="39">
        <f t="shared" si="68"/>
        <v>15.593290763411876</v>
      </c>
    </row>
    <row r="366" spans="2:17" customFormat="1" x14ac:dyDescent="0.25">
      <c r="B366" s="41" t="s">
        <v>1072</v>
      </c>
      <c r="C366" s="3" t="s">
        <v>508</v>
      </c>
      <c r="D366" s="3">
        <v>11.583333333333334</v>
      </c>
      <c r="E366" s="3">
        <v>16.708036197385752</v>
      </c>
      <c r="F366" s="3">
        <v>400</v>
      </c>
      <c r="G366" s="4">
        <v>17.239999999999998</v>
      </c>
      <c r="H366" s="7"/>
      <c r="I366" s="38">
        <f t="shared" si="73"/>
        <v>22.922213037290014</v>
      </c>
      <c r="J366" s="37">
        <f t="shared" si="74"/>
        <v>18.259999943921063</v>
      </c>
      <c r="K366" s="37">
        <f t="shared" si="75"/>
        <v>19.232334273500129</v>
      </c>
      <c r="L366" s="39">
        <f t="shared" si="76"/>
        <v>148.63957465564042</v>
      </c>
      <c r="M366" s="117"/>
      <c r="N366" s="38">
        <f t="shared" si="65"/>
        <v>1.978896089550217</v>
      </c>
      <c r="O366" s="37">
        <f t="shared" si="66"/>
        <v>1.5764028728564945</v>
      </c>
      <c r="P366" s="37">
        <f t="shared" si="67"/>
        <v>1.6603454049064859</v>
      </c>
      <c r="Q366" s="39">
        <f t="shared" si="68"/>
        <v>12.832193495450971</v>
      </c>
    </row>
    <row r="367" spans="2:17" customFormat="1" x14ac:dyDescent="0.25">
      <c r="B367" s="41" t="s">
        <v>1072</v>
      </c>
      <c r="C367" s="3" t="s">
        <v>509</v>
      </c>
      <c r="D367" s="3">
        <v>11.583333333333334</v>
      </c>
      <c r="E367" s="3">
        <v>16.891037689142443</v>
      </c>
      <c r="F367" s="3">
        <v>680</v>
      </c>
      <c r="G367" s="4">
        <v>20.329999999999998</v>
      </c>
      <c r="H367" s="7"/>
      <c r="I367" s="38">
        <f t="shared" si="73"/>
        <v>23.504692881458944</v>
      </c>
      <c r="J367" s="37">
        <f t="shared" si="74"/>
        <v>18.459999943306837</v>
      </c>
      <c r="K367" s="37">
        <f t="shared" si="75"/>
        <v>28.281994795514791</v>
      </c>
      <c r="L367" s="39">
        <f t="shared" si="76"/>
        <v>221.54583940227218</v>
      </c>
      <c r="M367" s="117"/>
      <c r="N367" s="38">
        <f t="shared" si="65"/>
        <v>2.0291821192626425</v>
      </c>
      <c r="O367" s="37">
        <f t="shared" si="66"/>
        <v>1.5936690598538277</v>
      </c>
      <c r="P367" s="37">
        <f t="shared" si="67"/>
        <v>2.4416110614832913</v>
      </c>
      <c r="Q367" s="39">
        <f t="shared" si="68"/>
        <v>19.12625951674292</v>
      </c>
    </row>
    <row r="368" spans="2:17" customFormat="1" x14ac:dyDescent="0.25">
      <c r="B368" s="41" t="s">
        <v>1072</v>
      </c>
      <c r="C368" s="3" t="s">
        <v>510</v>
      </c>
      <c r="D368" s="3">
        <v>9.5833333333333339</v>
      </c>
      <c r="E368" s="3">
        <v>18.289495424966052</v>
      </c>
      <c r="F368" s="3">
        <v>600</v>
      </c>
      <c r="G368" s="4">
        <v>19.75</v>
      </c>
      <c r="H368" s="7"/>
      <c r="I368" s="38">
        <f t="shared" si="73"/>
        <v>23.088875094876659</v>
      </c>
      <c r="J368" s="37">
        <f t="shared" si="74"/>
        <v>17.780000017368579</v>
      </c>
      <c r="K368" s="37">
        <f t="shared" si="75"/>
        <v>24.822147000735541</v>
      </c>
      <c r="L368" s="39">
        <f t="shared" si="76"/>
        <v>192.94199237590547</v>
      </c>
      <c r="M368" s="117"/>
      <c r="N368" s="38">
        <f t="shared" si="65"/>
        <v>2.4092739229436511</v>
      </c>
      <c r="O368" s="37">
        <f t="shared" si="66"/>
        <v>1.8553043496384602</v>
      </c>
      <c r="P368" s="37">
        <f t="shared" si="67"/>
        <v>2.5901370783376216</v>
      </c>
      <c r="Q368" s="39">
        <f t="shared" si="68"/>
        <v>20.133077465311874</v>
      </c>
    </row>
    <row r="369" spans="2:17" customFormat="1" x14ac:dyDescent="0.25">
      <c r="B369" s="41" t="s">
        <v>1072</v>
      </c>
      <c r="C369" s="3" t="s">
        <v>511</v>
      </c>
      <c r="D369" s="3">
        <v>9.5833333333333339</v>
      </c>
      <c r="E369" s="3">
        <v>14.9360783785437</v>
      </c>
      <c r="F369" s="3">
        <v>660</v>
      </c>
      <c r="G369" s="4">
        <v>17.260000000000002</v>
      </c>
      <c r="H369" s="7"/>
      <c r="I369" s="38">
        <f t="shared" si="73"/>
        <v>17.942211630357896</v>
      </c>
      <c r="J369" s="37">
        <f t="shared" si="74"/>
        <v>14.52000001418401</v>
      </c>
      <c r="K369" s="37">
        <f t="shared" si="75"/>
        <v>16.105049108438124</v>
      </c>
      <c r="L369" s="39">
        <f t="shared" si="76"/>
        <v>92.37036609813245</v>
      </c>
      <c r="M369" s="117"/>
      <c r="N369" s="38">
        <f t="shared" si="65"/>
        <v>1.8722307788199541</v>
      </c>
      <c r="O369" s="37">
        <f t="shared" si="66"/>
        <v>1.5151304362626792</v>
      </c>
      <c r="P369" s="37">
        <f t="shared" si="67"/>
        <v>1.6805268634891954</v>
      </c>
      <c r="Q369" s="39">
        <f t="shared" si="68"/>
        <v>9.6386468971964288</v>
      </c>
    </row>
    <row r="370" spans="2:17" customFormat="1" x14ac:dyDescent="0.25">
      <c r="B370" s="41" t="s">
        <v>1072</v>
      </c>
      <c r="C370" s="3" t="s">
        <v>512</v>
      </c>
      <c r="D370" s="3">
        <v>10.5</v>
      </c>
      <c r="E370" s="3">
        <v>14.135754305233116</v>
      </c>
      <c r="F370" s="3">
        <v>860</v>
      </c>
      <c r="G370" s="4">
        <v>15.9</v>
      </c>
      <c r="H370" s="7"/>
      <c r="I370" s="38">
        <f t="shared" si="73"/>
        <v>18.092268599988849</v>
      </c>
      <c r="J370" s="37">
        <f t="shared" si="74"/>
        <v>14.579999984400942</v>
      </c>
      <c r="K370" s="37">
        <f t="shared" si="75"/>
        <v>20.797999742552417</v>
      </c>
      <c r="L370" s="39">
        <f t="shared" si="76"/>
        <v>118.54125831110831</v>
      </c>
      <c r="M370" s="117"/>
      <c r="N370" s="38">
        <f t="shared" si="65"/>
        <v>1.7230731999989379</v>
      </c>
      <c r="O370" s="37">
        <f t="shared" si="66"/>
        <v>1.3885714270858041</v>
      </c>
      <c r="P370" s="37">
        <f t="shared" si="67"/>
        <v>1.9807618802430873</v>
      </c>
      <c r="Q370" s="39">
        <f t="shared" si="68"/>
        <v>11.289643648676982</v>
      </c>
    </row>
    <row r="371" spans="2:17" customFormat="1" x14ac:dyDescent="0.25">
      <c r="B371" s="41" t="s">
        <v>1072</v>
      </c>
      <c r="C371" s="3" t="s">
        <v>513</v>
      </c>
      <c r="D371" s="3">
        <v>10.5</v>
      </c>
      <c r="E371" s="3">
        <v>14.290879181010704</v>
      </c>
      <c r="F371" s="3">
        <v>560</v>
      </c>
      <c r="G371" s="4">
        <v>17.13</v>
      </c>
      <c r="H371" s="7"/>
      <c r="I371" s="38">
        <f t="shared" si="73"/>
        <v>18.08823873720004</v>
      </c>
      <c r="J371" s="37">
        <f t="shared" si="74"/>
        <v>14.739999984229755</v>
      </c>
      <c r="K371" s="37">
        <f t="shared" si="75"/>
        <v>14.512576680187559</v>
      </c>
      <c r="L371" s="39">
        <f t="shared" si="76"/>
        <v>84.162637398023392</v>
      </c>
      <c r="M371" s="117"/>
      <c r="N371" s="38">
        <f t="shared" si="65"/>
        <v>1.722689403542861</v>
      </c>
      <c r="O371" s="37">
        <f t="shared" si="66"/>
        <v>1.4038095223075957</v>
      </c>
      <c r="P371" s="37">
        <f t="shared" si="67"/>
        <v>1.3821501600178627</v>
      </c>
      <c r="Q371" s="39">
        <f t="shared" si="68"/>
        <v>8.0154892760022278</v>
      </c>
    </row>
    <row r="372" spans="2:17" customFormat="1" x14ac:dyDescent="0.25">
      <c r="B372" s="41" t="s">
        <v>1072</v>
      </c>
      <c r="C372" s="3" t="s">
        <v>514</v>
      </c>
      <c r="D372" s="3">
        <v>10.5</v>
      </c>
      <c r="E372" s="3">
        <v>15.260409654620657</v>
      </c>
      <c r="F372" s="3">
        <v>780</v>
      </c>
      <c r="G372" s="4">
        <v>15.09</v>
      </c>
      <c r="H372" s="7"/>
      <c r="I372" s="38">
        <f t="shared" si="73"/>
        <v>19.641990687552592</v>
      </c>
      <c r="J372" s="37">
        <f t="shared" si="74"/>
        <v>15.739999983159862</v>
      </c>
      <c r="K372" s="37">
        <f t="shared" si="75"/>
        <v>22.273958677316656</v>
      </c>
      <c r="L372" s="39">
        <f t="shared" si="76"/>
        <v>140.67168221628779</v>
      </c>
      <c r="M372" s="117"/>
      <c r="N372" s="38">
        <f t="shared" si="65"/>
        <v>1.8706657797669135</v>
      </c>
      <c r="O372" s="37">
        <f t="shared" si="66"/>
        <v>1.4990476174437963</v>
      </c>
      <c r="P372" s="37">
        <f t="shared" si="67"/>
        <v>2.1213293978396814</v>
      </c>
      <c r="Q372" s="39">
        <f t="shared" si="68"/>
        <v>13.397303068217886</v>
      </c>
    </row>
    <row r="373" spans="2:17" customFormat="1" x14ac:dyDescent="0.25">
      <c r="B373" s="41" t="s">
        <v>1072</v>
      </c>
      <c r="C373" s="3" t="s">
        <v>515</v>
      </c>
      <c r="D373" s="3">
        <v>10.5</v>
      </c>
      <c r="E373" s="3">
        <v>14.213316743121906</v>
      </c>
      <c r="F373" s="3">
        <v>920</v>
      </c>
      <c r="G373" s="4">
        <v>13.82</v>
      </c>
      <c r="H373" s="7"/>
      <c r="I373" s="38">
        <f t="shared" si="73"/>
        <v>18.242851701186488</v>
      </c>
      <c r="J373" s="37">
        <f t="shared" si="74"/>
        <v>14.659999984315347</v>
      </c>
      <c r="K373" s="37">
        <f t="shared" si="75"/>
        <v>22.721604757747258</v>
      </c>
      <c r="L373" s="39">
        <f t="shared" si="76"/>
        <v>130.33083194444805</v>
      </c>
      <c r="M373" s="117"/>
      <c r="N373" s="38">
        <f t="shared" si="65"/>
        <v>1.7374144477320466</v>
      </c>
      <c r="O373" s="37">
        <f t="shared" si="66"/>
        <v>1.3961904746966998</v>
      </c>
      <c r="P373" s="37">
        <f t="shared" si="67"/>
        <v>2.163962357880691</v>
      </c>
      <c r="Q373" s="39">
        <f t="shared" si="68"/>
        <v>12.412460185185529</v>
      </c>
    </row>
    <row r="374" spans="2:17" customFormat="1" x14ac:dyDescent="0.25">
      <c r="B374" s="41" t="s">
        <v>1072</v>
      </c>
      <c r="C374" s="3" t="s">
        <v>516</v>
      </c>
      <c r="D374" s="3">
        <v>9.5833333333333339</v>
      </c>
      <c r="E374" s="3">
        <v>10.019104917838543</v>
      </c>
      <c r="F374" s="3">
        <v>620</v>
      </c>
      <c r="G374" s="4">
        <v>10.28</v>
      </c>
      <c r="H374" s="7"/>
      <c r="I374" s="38">
        <f t="shared" si="73"/>
        <v>12.332703883569234</v>
      </c>
      <c r="J374" s="37">
        <f t="shared" si="74"/>
        <v>9.7400000095146204</v>
      </c>
      <c r="K374" s="37">
        <f t="shared" si="75"/>
        <v>7.251962142303273</v>
      </c>
      <c r="L374" s="39">
        <f t="shared" si="76"/>
        <v>26.672692467573093</v>
      </c>
      <c r="M374" s="117"/>
      <c r="N374" s="38">
        <f t="shared" si="65"/>
        <v>1.2868908400246157</v>
      </c>
      <c r="O374" s="37">
        <f t="shared" si="66"/>
        <v>1.0163478270797863</v>
      </c>
      <c r="P374" s="37">
        <f t="shared" si="67"/>
        <v>0.7567264844142545</v>
      </c>
      <c r="Q374" s="39">
        <f t="shared" si="68"/>
        <v>2.783237474877192</v>
      </c>
    </row>
    <row r="375" spans="2:17" customFormat="1" x14ac:dyDescent="0.25">
      <c r="B375" s="41" t="s">
        <v>1072</v>
      </c>
      <c r="C375" s="3" t="s">
        <v>517</v>
      </c>
      <c r="D375" s="3">
        <v>10.5</v>
      </c>
      <c r="E375" s="3">
        <v>13.476473583178343</v>
      </c>
      <c r="F375" s="3">
        <v>720</v>
      </c>
      <c r="G375" s="4">
        <v>15.47</v>
      </c>
      <c r="H375" s="7"/>
      <c r="I375" s="38">
        <f t="shared" si="73"/>
        <v>17.112880852029551</v>
      </c>
      <c r="J375" s="37">
        <f t="shared" si="74"/>
        <v>13.899999985128467</v>
      </c>
      <c r="K375" s="37">
        <f t="shared" si="75"/>
        <v>15.733809253060491</v>
      </c>
      <c r="L375" s="39">
        <f t="shared" si="76"/>
        <v>84.616011296622631</v>
      </c>
      <c r="M375" s="117"/>
      <c r="N375" s="38">
        <f t="shared" si="65"/>
        <v>1.6297981763837668</v>
      </c>
      <c r="O375" s="37">
        <f t="shared" si="66"/>
        <v>1.3238095223931874</v>
      </c>
      <c r="P375" s="37">
        <f t="shared" si="67"/>
        <v>1.498458024100999</v>
      </c>
      <c r="Q375" s="39">
        <f t="shared" si="68"/>
        <v>8.0586677425354889</v>
      </c>
    </row>
    <row r="376" spans="2:17" customFormat="1" x14ac:dyDescent="0.25">
      <c r="B376" s="41" t="s">
        <v>1072</v>
      </c>
      <c r="C376" s="3" t="s">
        <v>518</v>
      </c>
      <c r="D376" s="3">
        <v>10.5</v>
      </c>
      <c r="E376" s="3">
        <v>15.493096968287047</v>
      </c>
      <c r="F376" s="3">
        <v>680</v>
      </c>
      <c r="G376" s="4">
        <v>18.690000000000001</v>
      </c>
      <c r="H376" s="7"/>
      <c r="I376" s="38">
        <f t="shared" si="73"/>
        <v>19.912257764541909</v>
      </c>
      <c r="J376" s="37">
        <f t="shared" si="74"/>
        <v>15.979999982903088</v>
      </c>
      <c r="K376" s="37">
        <f t="shared" si="75"/>
        <v>20.306813012034784</v>
      </c>
      <c r="L376" s="39">
        <f t="shared" si="76"/>
        <v>131.12010075234036</v>
      </c>
      <c r="M376" s="117"/>
      <c r="N376" s="38">
        <f t="shared" si="65"/>
        <v>1.8964055013849437</v>
      </c>
      <c r="O376" s="37">
        <f t="shared" si="66"/>
        <v>1.5219047602764846</v>
      </c>
      <c r="P376" s="37">
        <f t="shared" si="67"/>
        <v>1.9339821916223603</v>
      </c>
      <c r="Q376" s="39">
        <f t="shared" si="68"/>
        <v>12.487628643080035</v>
      </c>
    </row>
    <row r="377" spans="2:17" customFormat="1" x14ac:dyDescent="0.25">
      <c r="B377" s="41" t="s">
        <v>1072</v>
      </c>
      <c r="C377" s="3" t="s">
        <v>519</v>
      </c>
      <c r="D377" s="3">
        <v>10.5</v>
      </c>
      <c r="E377" s="3">
        <v>16.966783288174177</v>
      </c>
      <c r="F377" s="3">
        <v>640</v>
      </c>
      <c r="G377" s="4">
        <v>20.36</v>
      </c>
      <c r="H377" s="7"/>
      <c r="I377" s="38">
        <f t="shared" ref="I377:I408" si="77">EXP(2.426552 -6.706013/D377+ 0.075921*E377+ 0.00004*F377)</f>
        <v>22.23392441449251</v>
      </c>
      <c r="J377" s="37">
        <f t="shared" ref="J377:J408" si="78">EXP(LN(E377) -6.498108 * (1/D377- 0.1))</f>
        <v>17.499999981276851</v>
      </c>
      <c r="K377" s="37">
        <f t="shared" ref="K377:K408" si="79">EXP(1.060976 -13.35596/D377+ 0.15187*E377+ 0.001278*F377)</f>
        <v>24.134568431113525</v>
      </c>
      <c r="L377" s="39">
        <f t="shared" ref="L377:L408" si="80">EXP(2.246512 -20.855741/D377+ 0.242321*E377+ 0.001267*F377)</f>
        <v>178.13449334142712</v>
      </c>
      <c r="M377" s="117"/>
      <c r="N377" s="38">
        <f t="shared" si="65"/>
        <v>2.1175166109040484</v>
      </c>
      <c r="O377" s="37">
        <f t="shared" si="66"/>
        <v>1.6666666648835096</v>
      </c>
      <c r="P377" s="37">
        <f t="shared" si="67"/>
        <v>2.2985303267727168</v>
      </c>
      <c r="Q377" s="39">
        <f t="shared" si="68"/>
        <v>16.965189842040679</v>
      </c>
    </row>
    <row r="378" spans="2:17" customFormat="1" x14ac:dyDescent="0.25">
      <c r="B378" s="41" t="s">
        <v>1072</v>
      </c>
      <c r="C378" s="3" t="s">
        <v>520</v>
      </c>
      <c r="D378" s="3">
        <v>10.5</v>
      </c>
      <c r="E378" s="3">
        <v>12.97231773690117</v>
      </c>
      <c r="F378" s="3">
        <v>520</v>
      </c>
      <c r="G378" s="4">
        <v>15.62</v>
      </c>
      <c r="H378" s="7"/>
      <c r="I378" s="38">
        <f t="shared" si="77"/>
        <v>16.339008857254736</v>
      </c>
      <c r="J378" s="37">
        <f t="shared" si="78"/>
        <v>13.379999985684814</v>
      </c>
      <c r="K378" s="37">
        <f t="shared" si="79"/>
        <v>11.286933217879831</v>
      </c>
      <c r="L378" s="39">
        <f t="shared" si="80"/>
        <v>58.122680556358404</v>
      </c>
      <c r="M378" s="117"/>
      <c r="N378" s="38">
        <f t="shared" si="65"/>
        <v>1.5560960816433083</v>
      </c>
      <c r="O378" s="37">
        <f t="shared" si="66"/>
        <v>1.2742857129223633</v>
      </c>
      <c r="P378" s="37">
        <f t="shared" si="67"/>
        <v>1.0749460207504602</v>
      </c>
      <c r="Q378" s="39">
        <f t="shared" si="68"/>
        <v>5.5354933863198479</v>
      </c>
    </row>
    <row r="379" spans="2:17" customFormat="1" x14ac:dyDescent="0.25">
      <c r="B379" s="41" t="s">
        <v>1072</v>
      </c>
      <c r="C379" s="3" t="s">
        <v>521</v>
      </c>
      <c r="D379" s="3">
        <v>10.5</v>
      </c>
      <c r="E379" s="3">
        <v>11.983396653819019</v>
      </c>
      <c r="F379" s="3">
        <v>680</v>
      </c>
      <c r="G379" s="4">
        <v>11.84</v>
      </c>
      <c r="H379" s="7"/>
      <c r="I379" s="38">
        <f t="shared" si="77"/>
        <v>15.254515423835441</v>
      </c>
      <c r="J379" s="37">
        <f t="shared" si="78"/>
        <v>12.359999986776106</v>
      </c>
      <c r="K379" s="37">
        <f t="shared" si="79"/>
        <v>11.916669989836942</v>
      </c>
      <c r="L379" s="39">
        <f t="shared" si="80"/>
        <v>56.016125964369529</v>
      </c>
      <c r="M379" s="117"/>
      <c r="N379" s="38">
        <f t="shared" si="65"/>
        <v>1.4528109927462325</v>
      </c>
      <c r="O379" s="37">
        <f t="shared" si="66"/>
        <v>1.1771428558834387</v>
      </c>
      <c r="P379" s="37">
        <f t="shared" si="67"/>
        <v>1.1349209514130421</v>
      </c>
      <c r="Q379" s="39">
        <f t="shared" si="68"/>
        <v>5.3348691394637644</v>
      </c>
    </row>
    <row r="380" spans="2:17" customFormat="1" x14ac:dyDescent="0.25">
      <c r="B380" s="41" t="s">
        <v>1072</v>
      </c>
      <c r="C380" s="3" t="s">
        <v>522</v>
      </c>
      <c r="D380" s="3">
        <v>10.5</v>
      </c>
      <c r="E380" s="3">
        <v>15.279800264092854</v>
      </c>
      <c r="F380" s="3">
        <v>720</v>
      </c>
      <c r="G380" s="4">
        <v>16.96</v>
      </c>
      <c r="H380" s="7"/>
      <c r="I380" s="38">
        <f t="shared" si="77"/>
        <v>19.623774406385046</v>
      </c>
      <c r="J380" s="37">
        <f t="shared" si="78"/>
        <v>15.759999983138462</v>
      </c>
      <c r="K380" s="37">
        <f t="shared" si="79"/>
        <v>20.690674171339442</v>
      </c>
      <c r="L380" s="39">
        <f t="shared" si="80"/>
        <v>130.98822480498106</v>
      </c>
      <c r="M380" s="117"/>
      <c r="N380" s="38">
        <f t="shared" si="65"/>
        <v>1.8689308958461948</v>
      </c>
      <c r="O380" s="37">
        <f t="shared" si="66"/>
        <v>1.5009523793465203</v>
      </c>
      <c r="P380" s="37">
        <f t="shared" si="67"/>
        <v>1.970540397270423</v>
      </c>
      <c r="Q380" s="39">
        <f t="shared" si="68"/>
        <v>12.475069029045816</v>
      </c>
    </row>
    <row r="381" spans="2:17" customFormat="1" x14ac:dyDescent="0.25">
      <c r="B381" s="41" t="s">
        <v>1072</v>
      </c>
      <c r="C381" s="3" t="s">
        <v>523</v>
      </c>
      <c r="D381" s="3">
        <v>10.5</v>
      </c>
      <c r="E381" s="3">
        <v>11.847662387513623</v>
      </c>
      <c r="F381" s="3">
        <v>580</v>
      </c>
      <c r="G381" s="4">
        <v>12</v>
      </c>
      <c r="H381" s="7"/>
      <c r="I381" s="38">
        <f t="shared" si="77"/>
        <v>15.037851732136538</v>
      </c>
      <c r="J381" s="37">
        <f t="shared" si="78"/>
        <v>12.21999998692589</v>
      </c>
      <c r="K381" s="37">
        <f t="shared" si="79"/>
        <v>10.273053441120986</v>
      </c>
      <c r="L381" s="39">
        <f t="shared" si="80"/>
        <v>47.753308371117939</v>
      </c>
      <c r="M381" s="117"/>
      <c r="N381" s="38">
        <f t="shared" si="65"/>
        <v>1.432176355441575</v>
      </c>
      <c r="O381" s="37">
        <f t="shared" si="66"/>
        <v>1.1638095225643705</v>
      </c>
      <c r="P381" s="37">
        <f t="shared" si="67"/>
        <v>0.97838604201152246</v>
      </c>
      <c r="Q381" s="39">
        <f t="shared" si="68"/>
        <v>4.5479341305826608</v>
      </c>
    </row>
    <row r="382" spans="2:17" customFormat="1" x14ac:dyDescent="0.25">
      <c r="B382" s="41" t="s">
        <v>1072</v>
      </c>
      <c r="C382" s="3" t="s">
        <v>524</v>
      </c>
      <c r="D382" s="3">
        <v>10.5</v>
      </c>
      <c r="E382" s="3">
        <v>15.725784281953434</v>
      </c>
      <c r="F382" s="3">
        <v>700</v>
      </c>
      <c r="G382" s="4">
        <v>15.5</v>
      </c>
      <c r="H382" s="7"/>
      <c r="I382" s="38">
        <f t="shared" si="77"/>
        <v>20.283370511558328</v>
      </c>
      <c r="J382" s="37">
        <f t="shared" si="78"/>
        <v>16.219999982646311</v>
      </c>
      <c r="K382" s="37">
        <f t="shared" si="79"/>
        <v>21.58189283446815</v>
      </c>
      <c r="L382" s="39">
        <f t="shared" si="80"/>
        <v>142.28594433897891</v>
      </c>
      <c r="M382" s="117"/>
      <c r="N382" s="38">
        <f t="shared" si="65"/>
        <v>1.9317495725293645</v>
      </c>
      <c r="O382" s="37">
        <f t="shared" si="66"/>
        <v>1.5447619031091724</v>
      </c>
      <c r="P382" s="37">
        <f t="shared" si="67"/>
        <v>2.0554183651874429</v>
      </c>
      <c r="Q382" s="39">
        <f t="shared" si="68"/>
        <v>13.551042317997991</v>
      </c>
    </row>
    <row r="383" spans="2:17" customFormat="1" x14ac:dyDescent="0.25">
      <c r="B383" s="41" t="s">
        <v>1072</v>
      </c>
      <c r="C383" s="3" t="s">
        <v>525</v>
      </c>
      <c r="D383" s="3">
        <v>10.5</v>
      </c>
      <c r="E383" s="3">
        <v>14.4072228378439</v>
      </c>
      <c r="F383" s="3">
        <v>540</v>
      </c>
      <c r="G383" s="4">
        <v>13.11</v>
      </c>
      <c r="H383" s="7"/>
      <c r="I383" s="38">
        <f t="shared" si="77"/>
        <v>18.234125398335628</v>
      </c>
      <c r="J383" s="37">
        <f t="shared" si="78"/>
        <v>14.859999984101371</v>
      </c>
      <c r="K383" s="37">
        <f t="shared" si="79"/>
        <v>14.398510185755892</v>
      </c>
      <c r="L383" s="39">
        <f t="shared" si="80"/>
        <v>84.403055003446397</v>
      </c>
      <c r="M383" s="117"/>
      <c r="N383" s="38">
        <f t="shared" si="65"/>
        <v>1.7365833712700598</v>
      </c>
      <c r="O383" s="37">
        <f t="shared" si="66"/>
        <v>1.4152380937239402</v>
      </c>
      <c r="P383" s="37">
        <f t="shared" si="67"/>
        <v>1.3712866843577041</v>
      </c>
      <c r="Q383" s="39">
        <f t="shared" si="68"/>
        <v>8.0383861908044185</v>
      </c>
    </row>
    <row r="384" spans="2:17" customFormat="1" x14ac:dyDescent="0.25">
      <c r="B384" s="41" t="s">
        <v>1072</v>
      </c>
      <c r="C384" s="3" t="s">
        <v>526</v>
      </c>
      <c r="D384" s="3">
        <v>10.5</v>
      </c>
      <c r="E384" s="3">
        <v>14.523566494677091</v>
      </c>
      <c r="F384" s="3">
        <v>760</v>
      </c>
      <c r="G384" s="4">
        <v>14.06</v>
      </c>
      <c r="H384" s="7"/>
      <c r="I384" s="38">
        <f t="shared" si="77"/>
        <v>18.558497809242809</v>
      </c>
      <c r="J384" s="37">
        <f t="shared" si="78"/>
        <v>14.979999983972979</v>
      </c>
      <c r="K384" s="37">
        <f t="shared" si="79"/>
        <v>19.41321176451055</v>
      </c>
      <c r="L384" s="39">
        <f t="shared" si="80"/>
        <v>114.72478760483681</v>
      </c>
      <c r="M384" s="117"/>
      <c r="N384" s="38">
        <f t="shared" si="65"/>
        <v>1.7674759818326484</v>
      </c>
      <c r="O384" s="37">
        <f t="shared" si="66"/>
        <v>1.4266666651402837</v>
      </c>
      <c r="P384" s="37">
        <f t="shared" si="67"/>
        <v>1.8488773109057666</v>
      </c>
      <c r="Q384" s="39">
        <f t="shared" si="68"/>
        <v>10.926170248079696</v>
      </c>
    </row>
    <row r="385" spans="2:17" customFormat="1" x14ac:dyDescent="0.25">
      <c r="B385" s="41" t="s">
        <v>1072</v>
      </c>
      <c r="C385" s="3" t="s">
        <v>527</v>
      </c>
      <c r="D385" s="3">
        <v>10.5</v>
      </c>
      <c r="E385" s="3">
        <v>17.121908163951765</v>
      </c>
      <c r="F385" s="3">
        <v>700</v>
      </c>
      <c r="G385" s="4">
        <v>18.559999999999999</v>
      </c>
      <c r="H385" s="7"/>
      <c r="I385" s="38">
        <f t="shared" si="77"/>
        <v>22.551385041091503</v>
      </c>
      <c r="J385" s="37">
        <f t="shared" si="78"/>
        <v>17.65999998110566</v>
      </c>
      <c r="K385" s="37">
        <f t="shared" si="79"/>
        <v>26.679193778219101</v>
      </c>
      <c r="L385" s="39">
        <f t="shared" si="80"/>
        <v>199.56676870806533</v>
      </c>
      <c r="M385" s="117"/>
      <c r="N385" s="38">
        <f t="shared" si="65"/>
        <v>2.1477509562944288</v>
      </c>
      <c r="O385" s="37">
        <f t="shared" si="66"/>
        <v>1.681904760105301</v>
      </c>
      <c r="P385" s="37">
        <f t="shared" si="67"/>
        <v>2.5408755979256288</v>
      </c>
      <c r="Q385" s="39">
        <f t="shared" si="68"/>
        <v>19.006358924577651</v>
      </c>
    </row>
    <row r="386" spans="2:17" customFormat="1" x14ac:dyDescent="0.25">
      <c r="B386" s="41" t="s">
        <v>1072</v>
      </c>
      <c r="C386" s="3" t="s">
        <v>528</v>
      </c>
      <c r="D386" s="3">
        <v>7.583333333333333</v>
      </c>
      <c r="E386" s="3">
        <v>14.268975970472113</v>
      </c>
      <c r="F386" s="3">
        <v>340</v>
      </c>
      <c r="G386" s="4">
        <v>13.89</v>
      </c>
      <c r="H386" s="7"/>
      <c r="I386" s="38">
        <f t="shared" si="77"/>
        <v>14.001402708504092</v>
      </c>
      <c r="J386" s="37">
        <f t="shared" si="78"/>
        <v>11.600000083056729</v>
      </c>
      <c r="K386" s="37">
        <f t="shared" si="79"/>
        <v>6.694590994771568</v>
      </c>
      <c r="L386" s="39">
        <f t="shared" si="80"/>
        <v>29.510818405990644</v>
      </c>
      <c r="M386" s="117"/>
      <c r="N386" s="38">
        <f t="shared" si="65"/>
        <v>1.8463388187038363</v>
      </c>
      <c r="O386" s="37">
        <f t="shared" si="66"/>
        <v>1.5296703406228653</v>
      </c>
      <c r="P386" s="37">
        <f t="shared" si="67"/>
        <v>0.88280320810174528</v>
      </c>
      <c r="Q386" s="39">
        <f t="shared" si="68"/>
        <v>3.8915364930976675</v>
      </c>
    </row>
    <row r="387" spans="2:17" customFormat="1" x14ac:dyDescent="0.25">
      <c r="B387" s="41" t="s">
        <v>1072</v>
      </c>
      <c r="C387" s="3" t="s">
        <v>529</v>
      </c>
      <c r="D387" s="3">
        <v>10.583333333333334</v>
      </c>
      <c r="E387" s="3">
        <v>12.291774583139109</v>
      </c>
      <c r="F387" s="3">
        <v>440</v>
      </c>
      <c r="G387" s="4">
        <v>14.05</v>
      </c>
      <c r="H387" s="7"/>
      <c r="I387" s="38">
        <f t="shared" si="77"/>
        <v>15.544654143045186</v>
      </c>
      <c r="J387" s="37">
        <f t="shared" si="78"/>
        <v>12.73999998422302</v>
      </c>
      <c r="K387" s="37">
        <f t="shared" si="79"/>
        <v>9.2819098971061571</v>
      </c>
      <c r="L387" s="39">
        <f t="shared" si="80"/>
        <v>45.237478422649446</v>
      </c>
      <c r="M387" s="117"/>
      <c r="N387" s="38">
        <f t="shared" si="65"/>
        <v>1.4687862182404898</v>
      </c>
      <c r="O387" s="37">
        <f t="shared" si="66"/>
        <v>1.2037795260683168</v>
      </c>
      <c r="P387" s="37">
        <f t="shared" si="67"/>
        <v>0.87703085641947931</v>
      </c>
      <c r="Q387" s="39">
        <f t="shared" si="68"/>
        <v>4.2744074100141205</v>
      </c>
    </row>
    <row r="388" spans="2:17" customFormat="1" x14ac:dyDescent="0.25">
      <c r="B388" s="41" t="s">
        <v>1072</v>
      </c>
      <c r="C388" s="3" t="s">
        <v>530</v>
      </c>
      <c r="D388" s="3">
        <v>9.5</v>
      </c>
      <c r="E388" s="3">
        <v>17.353464083216551</v>
      </c>
      <c r="F388" s="3">
        <v>900</v>
      </c>
      <c r="G388" s="4">
        <v>14.7</v>
      </c>
      <c r="H388" s="7"/>
      <c r="I388" s="38">
        <f t="shared" si="77"/>
        <v>21.631449289563896</v>
      </c>
      <c r="J388" s="37">
        <f t="shared" si="78"/>
        <v>16.770000019830775</v>
      </c>
      <c r="K388" s="37">
        <f t="shared" si="79"/>
        <v>31.21054642071261</v>
      </c>
      <c r="L388" s="39">
        <f t="shared" si="80"/>
        <v>220.65041404985428</v>
      </c>
      <c r="M388" s="117"/>
      <c r="N388" s="38">
        <f t="shared" si="65"/>
        <v>2.2769946620593573</v>
      </c>
      <c r="O388" s="37">
        <f t="shared" si="66"/>
        <v>1.7652631599821869</v>
      </c>
      <c r="P388" s="37">
        <f t="shared" si="67"/>
        <v>3.2853206758644853</v>
      </c>
      <c r="Q388" s="39">
        <f t="shared" si="68"/>
        <v>23.22635937366887</v>
      </c>
    </row>
    <row r="389" spans="2:17" customFormat="1" x14ac:dyDescent="0.25">
      <c r="B389" s="41" t="s">
        <v>1072</v>
      </c>
      <c r="C389" s="3" t="s">
        <v>531</v>
      </c>
      <c r="D389" s="3">
        <v>9.5833333333333339</v>
      </c>
      <c r="E389" s="3">
        <v>18.803823192822239</v>
      </c>
      <c r="F389" s="3">
        <v>960</v>
      </c>
      <c r="G389" s="4">
        <v>16.77</v>
      </c>
      <c r="H389" s="7"/>
      <c r="I389" s="38">
        <f t="shared" si="77"/>
        <v>24.356510424664783</v>
      </c>
      <c r="J389" s="37">
        <f t="shared" si="78"/>
        <v>18.280000017857009</v>
      </c>
      <c r="K389" s="37">
        <f t="shared" si="79"/>
        <v>42.517988150689803</v>
      </c>
      <c r="L389" s="39">
        <f t="shared" si="80"/>
        <v>344.86119582249876</v>
      </c>
      <c r="M389" s="117"/>
      <c r="N389" s="38">
        <f t="shared" si="65"/>
        <v>2.541548913878064</v>
      </c>
      <c r="O389" s="37">
        <f t="shared" si="66"/>
        <v>1.9074782627329052</v>
      </c>
      <c r="P389" s="37">
        <f t="shared" si="67"/>
        <v>4.4366596331154575</v>
      </c>
      <c r="Q389" s="39">
        <f t="shared" si="68"/>
        <v>35.985516085825957</v>
      </c>
    </row>
    <row r="390" spans="2:17" customFormat="1" x14ac:dyDescent="0.25">
      <c r="B390" s="41" t="s">
        <v>1072</v>
      </c>
      <c r="C390" s="3" t="s">
        <v>532</v>
      </c>
      <c r="D390" s="3">
        <v>9.5833333333333339</v>
      </c>
      <c r="E390" s="3">
        <v>14.493756498187382</v>
      </c>
      <c r="F390" s="3">
        <v>780</v>
      </c>
      <c r="G390" s="4">
        <v>15.12</v>
      </c>
      <c r="H390" s="7"/>
      <c r="I390" s="38">
        <f t="shared" si="77"/>
        <v>17.433168178303454</v>
      </c>
      <c r="J390" s="37">
        <f t="shared" si="78"/>
        <v>14.090000013763964</v>
      </c>
      <c r="K390" s="37">
        <f t="shared" si="79"/>
        <v>17.554624299897373</v>
      </c>
      <c r="L390" s="39">
        <f t="shared" si="80"/>
        <v>96.608075362986142</v>
      </c>
      <c r="M390" s="117"/>
      <c r="N390" s="38">
        <f t="shared" ref="N390:N453" si="81">I390/D390</f>
        <v>1.8191132012142734</v>
      </c>
      <c r="O390" s="37">
        <f t="shared" ref="O390:O453" si="82">J390/D390</f>
        <v>1.4702608710014571</v>
      </c>
      <c r="P390" s="37">
        <f t="shared" ref="P390:P453" si="83">K390/D390</f>
        <v>1.8317868834675519</v>
      </c>
      <c r="Q390" s="39">
        <f t="shared" ref="Q390:Q453" si="84">L390/D390</f>
        <v>10.080842646572467</v>
      </c>
    </row>
    <row r="391" spans="2:17" customFormat="1" x14ac:dyDescent="0.25">
      <c r="B391" s="41" t="s">
        <v>1072</v>
      </c>
      <c r="C391" s="3" t="s">
        <v>533</v>
      </c>
      <c r="D391" s="3">
        <v>9.0833333333333339</v>
      </c>
      <c r="E391" s="3">
        <v>16.721359756967011</v>
      </c>
      <c r="F391" s="3">
        <v>870</v>
      </c>
      <c r="G391" s="4">
        <v>15.23</v>
      </c>
      <c r="H391" s="7"/>
      <c r="I391" s="38">
        <f t="shared" si="77"/>
        <v>19.937007809275471</v>
      </c>
      <c r="J391" s="37">
        <f t="shared" si="78"/>
        <v>15.660000035507336</v>
      </c>
      <c r="K391" s="37">
        <f t="shared" si="79"/>
        <v>25.582997965154714</v>
      </c>
      <c r="L391" s="39">
        <f t="shared" si="80"/>
        <v>164.79359261135389</v>
      </c>
      <c r="M391" s="117"/>
      <c r="N391" s="38">
        <f t="shared" si="81"/>
        <v>2.1948999423055562</v>
      </c>
      <c r="O391" s="37">
        <f t="shared" si="82"/>
        <v>1.7240367011567708</v>
      </c>
      <c r="P391" s="37">
        <f t="shared" si="83"/>
        <v>2.8164768402005187</v>
      </c>
      <c r="Q391" s="39">
        <f t="shared" si="84"/>
        <v>18.14241386547015</v>
      </c>
    </row>
    <row r="392" spans="2:17" customFormat="1" x14ac:dyDescent="0.25">
      <c r="B392" s="41" t="s">
        <v>1072</v>
      </c>
      <c r="C392" s="3" t="s">
        <v>534</v>
      </c>
      <c r="D392" s="3">
        <v>9.5833333333333339</v>
      </c>
      <c r="E392" s="3">
        <v>14.90521871247233</v>
      </c>
      <c r="F392" s="3">
        <v>950</v>
      </c>
      <c r="G392" s="4">
        <v>15.42</v>
      </c>
      <c r="H392" s="7"/>
      <c r="I392" s="38">
        <f t="shared" si="77"/>
        <v>18.10907568399892</v>
      </c>
      <c r="J392" s="37">
        <f t="shared" si="78"/>
        <v>14.490000014154704</v>
      </c>
      <c r="K392" s="37">
        <f t="shared" si="79"/>
        <v>23.221212075906298</v>
      </c>
      <c r="L392" s="39">
        <f t="shared" si="80"/>
        <v>132.3908151135515</v>
      </c>
      <c r="M392" s="117"/>
      <c r="N392" s="38">
        <f t="shared" si="81"/>
        <v>1.8896426800694524</v>
      </c>
      <c r="O392" s="37">
        <f t="shared" si="82"/>
        <v>1.5120000014770125</v>
      </c>
      <c r="P392" s="37">
        <f t="shared" si="83"/>
        <v>2.4230829992250049</v>
      </c>
      <c r="Q392" s="39">
        <f t="shared" si="84"/>
        <v>13.814693750979286</v>
      </c>
    </row>
    <row r="393" spans="2:17" customFormat="1" x14ac:dyDescent="0.25">
      <c r="B393" s="41" t="s">
        <v>1072</v>
      </c>
      <c r="C393" s="3" t="s">
        <v>535</v>
      </c>
      <c r="D393" s="3">
        <v>9.5833333333333339</v>
      </c>
      <c r="E393" s="3">
        <v>15.080090153543434</v>
      </c>
      <c r="F393" s="3">
        <v>910</v>
      </c>
      <c r="G393" s="4">
        <v>14.56</v>
      </c>
      <c r="H393" s="7"/>
      <c r="I393" s="38">
        <f t="shared" si="77"/>
        <v>18.32176406350548</v>
      </c>
      <c r="J393" s="37">
        <f t="shared" si="78"/>
        <v>14.66000001432077</v>
      </c>
      <c r="K393" s="37">
        <f t="shared" si="79"/>
        <v>22.6577940366119</v>
      </c>
      <c r="L393" s="39">
        <f t="shared" si="80"/>
        <v>131.29586542881333</v>
      </c>
      <c r="M393" s="117"/>
      <c r="N393" s="38">
        <f t="shared" si="81"/>
        <v>1.9118362501049195</v>
      </c>
      <c r="O393" s="37">
        <f t="shared" si="82"/>
        <v>1.5297391319291238</v>
      </c>
      <c r="P393" s="37">
        <f t="shared" si="83"/>
        <v>2.3642915516464589</v>
      </c>
      <c r="Q393" s="39">
        <f t="shared" si="84"/>
        <v>13.70043813170226</v>
      </c>
    </row>
    <row r="394" spans="2:17" customFormat="1" x14ac:dyDescent="0.25">
      <c r="B394" s="41" t="s">
        <v>1072</v>
      </c>
      <c r="C394" s="3" t="s">
        <v>536</v>
      </c>
      <c r="D394" s="3">
        <v>9.5833333333333339</v>
      </c>
      <c r="E394" s="3">
        <v>13.094784969618548</v>
      </c>
      <c r="F394" s="3">
        <v>420</v>
      </c>
      <c r="G394" s="4">
        <v>14.18</v>
      </c>
      <c r="H394" s="7"/>
      <c r="I394" s="38">
        <f t="shared" si="77"/>
        <v>15.452383934641606</v>
      </c>
      <c r="J394" s="37">
        <f t="shared" si="78"/>
        <v>12.730000012435431</v>
      </c>
      <c r="K394" s="37">
        <f t="shared" si="79"/>
        <v>8.960048160530679</v>
      </c>
      <c r="L394" s="39">
        <f t="shared" si="80"/>
        <v>43.621151280768636</v>
      </c>
      <c r="M394" s="117"/>
      <c r="N394" s="38">
        <f t="shared" si="81"/>
        <v>1.6124226714408632</v>
      </c>
      <c r="O394" s="37">
        <f t="shared" si="82"/>
        <v>1.3283478273845666</v>
      </c>
      <c r="P394" s="37">
        <f t="shared" si="83"/>
        <v>0.93496154718580993</v>
      </c>
      <c r="Q394" s="39">
        <f t="shared" si="84"/>
        <v>4.5517723075584664</v>
      </c>
    </row>
    <row r="395" spans="2:17" customFormat="1" x14ac:dyDescent="0.25">
      <c r="B395" s="41" t="s">
        <v>1072</v>
      </c>
      <c r="C395" s="3" t="s">
        <v>537</v>
      </c>
      <c r="D395" s="3">
        <v>9.5833333333333339</v>
      </c>
      <c r="E395" s="3">
        <v>13.166790857118414</v>
      </c>
      <c r="F395" s="3">
        <v>790</v>
      </c>
      <c r="G395" s="4">
        <v>13.31</v>
      </c>
      <c r="H395" s="7"/>
      <c r="I395" s="38">
        <f t="shared" si="77"/>
        <v>15.768748691117912</v>
      </c>
      <c r="J395" s="37">
        <f t="shared" si="78"/>
        <v>12.800000012503812</v>
      </c>
      <c r="K395" s="37">
        <f t="shared" si="79"/>
        <v>14.535168638306827</v>
      </c>
      <c r="L395" s="39">
        <f t="shared" si="80"/>
        <v>70.936186592248973</v>
      </c>
      <c r="M395" s="117"/>
      <c r="N395" s="38">
        <f t="shared" si="81"/>
        <v>1.6454346460296951</v>
      </c>
      <c r="O395" s="37">
        <f t="shared" si="82"/>
        <v>1.335652175217789</v>
      </c>
      <c r="P395" s="37">
        <f t="shared" si="83"/>
        <v>1.5167132492146254</v>
      </c>
      <c r="Q395" s="39">
        <f t="shared" si="84"/>
        <v>7.4020368617998926</v>
      </c>
    </row>
    <row r="396" spans="2:17" customFormat="1" x14ac:dyDescent="0.25">
      <c r="B396" s="41" t="s">
        <v>1072</v>
      </c>
      <c r="C396" s="3" t="s">
        <v>538</v>
      </c>
      <c r="D396" s="3">
        <v>9.5833333333333339</v>
      </c>
      <c r="E396" s="3">
        <v>13.290229521403901</v>
      </c>
      <c r="F396" s="3">
        <v>810</v>
      </c>
      <c r="G396" s="4">
        <v>12.77</v>
      </c>
      <c r="H396" s="7"/>
      <c r="I396" s="38">
        <f t="shared" si="77"/>
        <v>15.929960387104304</v>
      </c>
      <c r="J396" s="37">
        <f t="shared" si="78"/>
        <v>12.920000012621037</v>
      </c>
      <c r="K396" s="37">
        <f t="shared" si="79"/>
        <v>15.19365286710684</v>
      </c>
      <c r="L396" s="39">
        <f t="shared" si="80"/>
        <v>74.965834749416103</v>
      </c>
      <c r="M396" s="117"/>
      <c r="N396" s="38">
        <f t="shared" si="81"/>
        <v>1.6622567360456664</v>
      </c>
      <c r="O396" s="37">
        <f t="shared" si="82"/>
        <v>1.3481739143604559</v>
      </c>
      <c r="P396" s="37">
        <f t="shared" si="83"/>
        <v>1.5854246470024527</v>
      </c>
      <c r="Q396" s="39">
        <f t="shared" si="84"/>
        <v>7.8225218868955926</v>
      </c>
    </row>
    <row r="397" spans="2:17" customFormat="1" x14ac:dyDescent="0.25">
      <c r="B397" s="41" t="s">
        <v>1072</v>
      </c>
      <c r="C397" s="3" t="s">
        <v>539</v>
      </c>
      <c r="D397" s="3">
        <v>10.583333333333334</v>
      </c>
      <c r="E397" s="3">
        <v>17.125510113871208</v>
      </c>
      <c r="F397" s="3">
        <v>890</v>
      </c>
      <c r="G397" s="4">
        <v>17.59</v>
      </c>
      <c r="H397" s="7"/>
      <c r="I397" s="38">
        <f t="shared" si="77"/>
        <v>22.844235955308118</v>
      </c>
      <c r="J397" s="37">
        <f t="shared" si="78"/>
        <v>17.749999978018728</v>
      </c>
      <c r="K397" s="37">
        <f t="shared" si="79"/>
        <v>34.372841062253578</v>
      </c>
      <c r="L397" s="39">
        <f t="shared" si="80"/>
        <v>258.11146834198917</v>
      </c>
      <c r="M397" s="117"/>
      <c r="N397" s="38">
        <f t="shared" si="81"/>
        <v>2.1585104839661211</v>
      </c>
      <c r="O397" s="37">
        <f t="shared" si="82"/>
        <v>1.677165352253738</v>
      </c>
      <c r="P397" s="37">
        <f t="shared" si="83"/>
        <v>3.2478275019452196</v>
      </c>
      <c r="Q397" s="39">
        <f t="shared" si="84"/>
        <v>24.388485197668267</v>
      </c>
    </row>
    <row r="398" spans="2:17" customFormat="1" x14ac:dyDescent="0.25">
      <c r="B398" s="41" t="s">
        <v>1072</v>
      </c>
      <c r="C398" s="3" t="s">
        <v>540</v>
      </c>
      <c r="D398" s="3">
        <v>7.416666666666667</v>
      </c>
      <c r="E398" s="3">
        <v>14.546402311038463</v>
      </c>
      <c r="F398" s="3">
        <v>1120</v>
      </c>
      <c r="G398" s="4">
        <v>10.78</v>
      </c>
      <c r="H398" s="7"/>
      <c r="I398" s="38">
        <f t="shared" si="77"/>
        <v>14.462337865388774</v>
      </c>
      <c r="J398" s="37">
        <f t="shared" si="78"/>
        <v>11.600000090779941</v>
      </c>
      <c r="K398" s="37">
        <f t="shared" si="79"/>
        <v>18.186772124263168</v>
      </c>
      <c r="L398" s="39">
        <f t="shared" si="80"/>
        <v>79.713641515075295</v>
      </c>
      <c r="M398" s="117"/>
      <c r="N398" s="38">
        <f t="shared" si="81"/>
        <v>1.9499781391535425</v>
      </c>
      <c r="O398" s="37">
        <f t="shared" si="82"/>
        <v>1.5640449560602168</v>
      </c>
      <c r="P398" s="37">
        <f t="shared" si="83"/>
        <v>2.4521490504624497</v>
      </c>
      <c r="Q398" s="39">
        <f t="shared" si="84"/>
        <v>10.747906721133747</v>
      </c>
    </row>
    <row r="399" spans="2:17" customFormat="1" x14ac:dyDescent="0.25">
      <c r="B399" s="41" t="s">
        <v>1072</v>
      </c>
      <c r="C399" s="3" t="s">
        <v>541</v>
      </c>
      <c r="D399" s="3">
        <v>8.25</v>
      </c>
      <c r="E399" s="3">
        <v>13.199589025562458</v>
      </c>
      <c r="F399" s="3">
        <v>1140</v>
      </c>
      <c r="G399" s="4">
        <v>9.6999999999999993</v>
      </c>
      <c r="H399" s="7"/>
      <c r="I399" s="38">
        <f t="shared" si="77"/>
        <v>14.316717892385961</v>
      </c>
      <c r="J399" s="37">
        <f t="shared" si="78"/>
        <v>11.500000054807774</v>
      </c>
      <c r="K399" s="37">
        <f t="shared" si="79"/>
        <v>18.239933574450337</v>
      </c>
      <c r="L399" s="39">
        <f t="shared" si="80"/>
        <v>78.371552144030659</v>
      </c>
      <c r="M399" s="117"/>
      <c r="N399" s="38">
        <f t="shared" si="81"/>
        <v>1.7353597445316318</v>
      </c>
      <c r="O399" s="37">
        <f t="shared" si="82"/>
        <v>1.3939394005827606</v>
      </c>
      <c r="P399" s="37">
        <f t="shared" si="83"/>
        <v>2.2109010393273136</v>
      </c>
      <c r="Q399" s="39">
        <f t="shared" si="84"/>
        <v>9.4995820780643214</v>
      </c>
    </row>
    <row r="400" spans="2:17" customFormat="1" x14ac:dyDescent="0.25">
      <c r="B400" s="41" t="s">
        <v>1072</v>
      </c>
      <c r="C400" s="3" t="s">
        <v>542</v>
      </c>
      <c r="D400" s="3">
        <v>14.666666666666666</v>
      </c>
      <c r="E400" s="3">
        <v>8.7420766603811622</v>
      </c>
      <c r="F400" s="3">
        <v>662</v>
      </c>
      <c r="G400" s="4">
        <v>16.97</v>
      </c>
      <c r="H400" s="7"/>
      <c r="I400" s="38">
        <f t="shared" si="77"/>
        <v>14.289300537339717</v>
      </c>
      <c r="J400" s="37">
        <f t="shared" si="78"/>
        <v>10.749999923149971</v>
      </c>
      <c r="K400" s="37">
        <f t="shared" si="79"/>
        <v>10.216842112188907</v>
      </c>
      <c r="L400" s="39">
        <f t="shared" si="80"/>
        <v>43.889381761518678</v>
      </c>
      <c r="M400" s="117"/>
      <c r="N400" s="38">
        <f t="shared" si="81"/>
        <v>0.9742704911822534</v>
      </c>
      <c r="O400" s="37">
        <f t="shared" si="82"/>
        <v>0.7329545402147708</v>
      </c>
      <c r="P400" s="37">
        <f t="shared" si="83"/>
        <v>0.69660287128560727</v>
      </c>
      <c r="Q400" s="39">
        <f t="shared" si="84"/>
        <v>2.9924578473762735</v>
      </c>
    </row>
    <row r="401" spans="2:17" customFormat="1" x14ac:dyDescent="0.25">
      <c r="B401" s="41" t="s">
        <v>1072</v>
      </c>
      <c r="C401" s="3" t="s">
        <v>543</v>
      </c>
      <c r="D401" s="3">
        <v>11.25</v>
      </c>
      <c r="E401" s="3">
        <v>7.6288182539474931</v>
      </c>
      <c r="F401" s="3">
        <v>990</v>
      </c>
      <c r="G401" s="4">
        <v>12.77</v>
      </c>
      <c r="H401" s="7"/>
      <c r="I401" s="38">
        <f t="shared" si="77"/>
        <v>11.579652536528023</v>
      </c>
      <c r="J401" s="37">
        <f t="shared" si="78"/>
        <v>8.1999999795293537</v>
      </c>
      <c r="K401" s="37">
        <f t="shared" si="79"/>
        <v>9.9501555457057869</v>
      </c>
      <c r="L401" s="39">
        <f t="shared" si="80"/>
        <v>32.970763811211782</v>
      </c>
      <c r="M401" s="117"/>
      <c r="N401" s="38">
        <f t="shared" si="81"/>
        <v>1.0293024476913799</v>
      </c>
      <c r="O401" s="37">
        <f t="shared" si="82"/>
        <v>0.7288888870692759</v>
      </c>
      <c r="P401" s="37">
        <f t="shared" si="83"/>
        <v>0.88445827072940331</v>
      </c>
      <c r="Q401" s="39">
        <f t="shared" si="84"/>
        <v>2.9307345609966027</v>
      </c>
    </row>
    <row r="402" spans="2:17" customFormat="1" x14ac:dyDescent="0.25">
      <c r="B402" s="41" t="s">
        <v>1072</v>
      </c>
      <c r="C402" s="3" t="s">
        <v>544</v>
      </c>
      <c r="D402" s="3">
        <v>13.75</v>
      </c>
      <c r="E402" s="3">
        <v>11.140007434039362</v>
      </c>
      <c r="F402" s="3">
        <v>523</v>
      </c>
      <c r="G402" s="4">
        <v>18.55</v>
      </c>
      <c r="H402" s="7"/>
      <c r="I402" s="38">
        <f t="shared" si="77"/>
        <v>16.535713031067601</v>
      </c>
      <c r="J402" s="37">
        <f t="shared" si="78"/>
        <v>13.299999918503227</v>
      </c>
      <c r="K402" s="37">
        <f t="shared" si="79"/>
        <v>11.586728908367123</v>
      </c>
      <c r="L402" s="39">
        <f t="shared" si="80"/>
        <v>59.849290529347982</v>
      </c>
      <c r="M402" s="117"/>
      <c r="N402" s="38">
        <f t="shared" si="81"/>
        <v>1.202597311350371</v>
      </c>
      <c r="O402" s="37">
        <f t="shared" si="82"/>
        <v>0.9672727213456892</v>
      </c>
      <c r="P402" s="37">
        <f t="shared" si="83"/>
        <v>0.84267119333579077</v>
      </c>
      <c r="Q402" s="39">
        <f t="shared" si="84"/>
        <v>4.3526756748616711</v>
      </c>
    </row>
    <row r="403" spans="2:17" customFormat="1" x14ac:dyDescent="0.25">
      <c r="B403" s="41" t="s">
        <v>1072</v>
      </c>
      <c r="C403" s="3" t="s">
        <v>545</v>
      </c>
      <c r="D403" s="3">
        <v>12.666666666666666</v>
      </c>
      <c r="E403" s="3">
        <v>9.3842549195239577</v>
      </c>
      <c r="F403" s="3">
        <v>691</v>
      </c>
      <c r="G403" s="4">
        <v>15.84</v>
      </c>
      <c r="H403" s="7"/>
      <c r="I403" s="38">
        <f t="shared" si="77"/>
        <v>13.974467838731623</v>
      </c>
      <c r="J403" s="37">
        <f t="shared" si="78"/>
        <v>10.759999949104563</v>
      </c>
      <c r="K403" s="37">
        <f t="shared" si="79"/>
        <v>10.123332417189058</v>
      </c>
      <c r="L403" s="39">
        <f t="shared" si="80"/>
        <v>42.500046410133372</v>
      </c>
      <c r="M403" s="117"/>
      <c r="N403" s="38">
        <f t="shared" si="81"/>
        <v>1.1032474609524967</v>
      </c>
      <c r="O403" s="37">
        <f t="shared" si="82"/>
        <v>0.8494736801924655</v>
      </c>
      <c r="P403" s="37">
        <f t="shared" si="83"/>
        <v>0.7992104539886099</v>
      </c>
      <c r="Q403" s="39">
        <f t="shared" si="84"/>
        <v>3.3552668218526347</v>
      </c>
    </row>
    <row r="404" spans="2:17" customFormat="1" x14ac:dyDescent="0.25">
      <c r="B404" s="41" t="s">
        <v>1072</v>
      </c>
      <c r="C404" s="3" t="s">
        <v>546</v>
      </c>
      <c r="D404" s="3">
        <v>9.6666666666666661</v>
      </c>
      <c r="E404" s="3">
        <v>13.376395392738983</v>
      </c>
      <c r="F404" s="3">
        <v>740</v>
      </c>
      <c r="G404" s="4">
        <v>15.17</v>
      </c>
      <c r="H404" s="7"/>
      <c r="I404" s="38">
        <f t="shared" si="77"/>
        <v>16.086426338885857</v>
      </c>
      <c r="J404" s="37">
        <f t="shared" si="78"/>
        <v>13.080000010133745</v>
      </c>
      <c r="K404" s="37">
        <f t="shared" si="79"/>
        <v>14.246597892326102</v>
      </c>
      <c r="L404" s="39">
        <f t="shared" si="80"/>
        <v>71.377526128136239</v>
      </c>
      <c r="M404" s="117"/>
      <c r="N404" s="38">
        <f t="shared" si="81"/>
        <v>1.6641130695399164</v>
      </c>
      <c r="O404" s="37">
        <f t="shared" si="82"/>
        <v>1.3531034493241805</v>
      </c>
      <c r="P404" s="37">
        <f t="shared" si="83"/>
        <v>1.473785988861321</v>
      </c>
      <c r="Q404" s="39">
        <f t="shared" si="84"/>
        <v>7.3838820132554739</v>
      </c>
    </row>
    <row r="405" spans="2:17" customFormat="1" x14ac:dyDescent="0.25">
      <c r="B405" s="41" t="s">
        <v>1072</v>
      </c>
      <c r="C405" s="3" t="s">
        <v>547</v>
      </c>
      <c r="D405" s="3">
        <v>7.416666666666667</v>
      </c>
      <c r="E405" s="3">
        <v>10.558681677495157</v>
      </c>
      <c r="F405" s="3">
        <v>540</v>
      </c>
      <c r="G405" s="4">
        <v>13.15</v>
      </c>
      <c r="H405" s="7"/>
      <c r="I405" s="38">
        <f t="shared" si="77"/>
        <v>10.439494310055728</v>
      </c>
      <c r="J405" s="37">
        <f t="shared" si="78"/>
        <v>8.4200000658937135</v>
      </c>
      <c r="K405" s="37">
        <f t="shared" si="79"/>
        <v>4.7295941283181913</v>
      </c>
      <c r="L405" s="39">
        <f t="shared" si="80"/>
        <v>14.545363460138837</v>
      </c>
      <c r="M405" s="117"/>
      <c r="N405" s="38">
        <f t="shared" si="81"/>
        <v>1.4075722665243677</v>
      </c>
      <c r="O405" s="37">
        <f t="shared" si="82"/>
        <v>1.13528090776095</v>
      </c>
      <c r="P405" s="37">
        <f t="shared" si="83"/>
        <v>0.63769808471705947</v>
      </c>
      <c r="Q405" s="39">
        <f t="shared" si="84"/>
        <v>1.9611726013670341</v>
      </c>
    </row>
    <row r="406" spans="2:17" customFormat="1" x14ac:dyDescent="0.25">
      <c r="B406" s="41" t="s">
        <v>1072</v>
      </c>
      <c r="C406" s="3" t="s">
        <v>548</v>
      </c>
      <c r="D406" s="3">
        <v>9.6666666666666661</v>
      </c>
      <c r="E406" s="3">
        <v>15.851233072435342</v>
      </c>
      <c r="F406" s="3">
        <v>600</v>
      </c>
      <c r="G406" s="4">
        <v>19.96</v>
      </c>
      <c r="H406" s="7"/>
      <c r="I406" s="38">
        <f t="shared" si="77"/>
        <v>19.303143983312747</v>
      </c>
      <c r="J406" s="37">
        <f t="shared" si="78"/>
        <v>15.500000012008645</v>
      </c>
      <c r="K406" s="37">
        <f t="shared" si="79"/>
        <v>17.347557740147064</v>
      </c>
      <c r="L406" s="39">
        <f t="shared" si="80"/>
        <v>108.88673364427616</v>
      </c>
      <c r="M406" s="117"/>
      <c r="N406" s="38">
        <f t="shared" si="81"/>
        <v>1.996876963790974</v>
      </c>
      <c r="O406" s="37">
        <f t="shared" si="82"/>
        <v>1.6034482771043426</v>
      </c>
      <c r="P406" s="37">
        <f t="shared" si="83"/>
        <v>1.7945749386359033</v>
      </c>
      <c r="Q406" s="39">
        <f t="shared" si="84"/>
        <v>11.264144859752706</v>
      </c>
    </row>
    <row r="407" spans="2:17" customFormat="1" x14ac:dyDescent="0.25">
      <c r="B407" s="41" t="s">
        <v>1072</v>
      </c>
      <c r="C407" s="3" t="s">
        <v>549</v>
      </c>
      <c r="D407" s="3">
        <v>10.75</v>
      </c>
      <c r="E407" s="3">
        <v>9.7479019916680212</v>
      </c>
      <c r="F407" s="3">
        <v>800</v>
      </c>
      <c r="G407" s="4">
        <v>11.77</v>
      </c>
      <c r="H407" s="7"/>
      <c r="I407" s="38">
        <f t="shared" si="77"/>
        <v>13.128787054162105</v>
      </c>
      <c r="J407" s="37">
        <f t="shared" si="78"/>
        <v>10.199999984011296</v>
      </c>
      <c r="K407" s="37">
        <f t="shared" si="79"/>
        <v>10.189675397819414</v>
      </c>
      <c r="L407" s="39">
        <f t="shared" si="80"/>
        <v>39.732298783272981</v>
      </c>
      <c r="M407" s="117"/>
      <c r="N407" s="38">
        <f t="shared" si="81"/>
        <v>1.2212825166662424</v>
      </c>
      <c r="O407" s="37">
        <f t="shared" si="82"/>
        <v>0.94883720781500425</v>
      </c>
      <c r="P407" s="37">
        <f t="shared" si="83"/>
        <v>0.94787678119250363</v>
      </c>
      <c r="Q407" s="39">
        <f t="shared" si="84"/>
        <v>3.6960277937928354</v>
      </c>
    </row>
    <row r="408" spans="2:17" customFormat="1" x14ac:dyDescent="0.25">
      <c r="B408" s="41" t="s">
        <v>1072</v>
      </c>
      <c r="C408" s="3" t="s">
        <v>550</v>
      </c>
      <c r="D408" s="3">
        <v>4.166666666666667</v>
      </c>
      <c r="E408" s="3">
        <v>11.077144344796583</v>
      </c>
      <c r="F408" s="3">
        <v>980</v>
      </c>
      <c r="G408" s="4">
        <v>3.52</v>
      </c>
      <c r="H408" s="7"/>
      <c r="I408" s="38">
        <f t="shared" si="77"/>
        <v>5.4591699577018105</v>
      </c>
      <c r="J408" s="37">
        <f t="shared" si="78"/>
        <v>4.4600001402888383</v>
      </c>
      <c r="K408" s="37">
        <f t="shared" si="79"/>
        <v>2.2039947552655508</v>
      </c>
      <c r="L408" s="39">
        <f t="shared" si="80"/>
        <v>3.2124017136336596</v>
      </c>
      <c r="M408" s="117"/>
      <c r="N408" s="38">
        <f t="shared" si="81"/>
        <v>1.3102007898484345</v>
      </c>
      <c r="O408" s="37">
        <f t="shared" si="82"/>
        <v>1.0704000336693211</v>
      </c>
      <c r="P408" s="37">
        <f t="shared" si="83"/>
        <v>0.5289587412637321</v>
      </c>
      <c r="Q408" s="39">
        <f t="shared" si="84"/>
        <v>0.77097641127207828</v>
      </c>
    </row>
    <row r="409" spans="2:17" customFormat="1" x14ac:dyDescent="0.25">
      <c r="B409" s="41" t="s">
        <v>1072</v>
      </c>
      <c r="C409" s="3" t="s">
        <v>551</v>
      </c>
      <c r="D409" s="3">
        <v>8.4166666666666661</v>
      </c>
      <c r="E409" s="3">
        <v>10.735257719805084</v>
      </c>
      <c r="F409" s="3">
        <v>580</v>
      </c>
      <c r="G409" s="4">
        <v>11</v>
      </c>
      <c r="H409" s="7"/>
      <c r="I409" s="38">
        <f t="shared" ref="I409:I440" si="85">EXP(2.426552 -6.706013/D409+ 0.075921*E409+ 0.00004*F409)</f>
        <v>11.799173439796906</v>
      </c>
      <c r="J409" s="37">
        <f t="shared" ref="J409:J440" si="86">EXP(LN(E409) -6.498108 * (1/D409- 0.1))</f>
        <v>9.5000000401528233</v>
      </c>
      <c r="K409" s="37">
        <f t="shared" ref="K409:K440" si="87">EXP(1.060976 -13.35596/D409+ 0.15187*E409+ 0.001278*F409)</f>
        <v>6.3327390838702193</v>
      </c>
      <c r="L409" s="39">
        <f t="shared" ref="L409:L440" si="88">EXP(2.246512 -20.855741/D409+ 0.242321*E409+ 0.001267*F409)</f>
        <v>22.305662369266589</v>
      </c>
      <c r="M409" s="117"/>
      <c r="N409" s="38">
        <f t="shared" si="81"/>
        <v>1.4018819928471573</v>
      </c>
      <c r="O409" s="37">
        <f t="shared" si="82"/>
        <v>1.1287128760577612</v>
      </c>
      <c r="P409" s="37">
        <f t="shared" si="83"/>
        <v>0.75240464362814496</v>
      </c>
      <c r="Q409" s="39">
        <f t="shared" si="84"/>
        <v>2.6501777072395947</v>
      </c>
    </row>
    <row r="410" spans="2:17" customFormat="1" x14ac:dyDescent="0.25">
      <c r="B410" s="41" t="s">
        <v>1072</v>
      </c>
      <c r="C410" s="3" t="s">
        <v>552</v>
      </c>
      <c r="D410" s="3">
        <v>9.4166666666666661</v>
      </c>
      <c r="E410" s="3">
        <v>15.387087493935947</v>
      </c>
      <c r="F410" s="3">
        <v>760</v>
      </c>
      <c r="G410" s="4">
        <v>14.94</v>
      </c>
      <c r="H410" s="7"/>
      <c r="I410" s="38">
        <f t="shared" si="85"/>
        <v>18.41217436653081</v>
      </c>
      <c r="J410" s="37">
        <f t="shared" si="86"/>
        <v>14.780000020570938</v>
      </c>
      <c r="K410" s="37">
        <f t="shared" si="87"/>
        <v>19.120497789610546</v>
      </c>
      <c r="L410" s="39">
        <f t="shared" si="88"/>
        <v>112.53648417710345</v>
      </c>
      <c r="M410" s="117"/>
      <c r="N410" s="38">
        <f t="shared" si="81"/>
        <v>1.9552751539678737</v>
      </c>
      <c r="O410" s="37">
        <f t="shared" si="82"/>
        <v>1.5695575243084183</v>
      </c>
      <c r="P410" s="37">
        <f t="shared" si="83"/>
        <v>2.0304953404896158</v>
      </c>
      <c r="Q410" s="39">
        <f t="shared" si="84"/>
        <v>11.950777080754349</v>
      </c>
    </row>
    <row r="411" spans="2:17" customFormat="1" x14ac:dyDescent="0.25">
      <c r="B411" s="41" t="s">
        <v>1072</v>
      </c>
      <c r="C411" s="3" t="s">
        <v>553</v>
      </c>
      <c r="D411" s="3">
        <v>5.416666666666667</v>
      </c>
      <c r="E411" s="3">
        <v>6.4813287161293562</v>
      </c>
      <c r="F411" s="3">
        <v>1180</v>
      </c>
      <c r="G411" s="4">
        <v>4.45</v>
      </c>
      <c r="H411" s="7"/>
      <c r="I411" s="38">
        <f t="shared" si="85"/>
        <v>5.6281893796138105</v>
      </c>
      <c r="J411" s="37">
        <f t="shared" si="86"/>
        <v>3.7400000711018921</v>
      </c>
      <c r="K411" s="37">
        <f t="shared" si="87"/>
        <v>2.9672028266083763</v>
      </c>
      <c r="L411" s="39">
        <f t="shared" si="88"/>
        <v>4.3139044964325484</v>
      </c>
      <c r="M411" s="117"/>
      <c r="N411" s="38">
        <f t="shared" si="81"/>
        <v>1.0390503470056265</v>
      </c>
      <c r="O411" s="37">
        <f t="shared" si="82"/>
        <v>0.69046155158804157</v>
      </c>
      <c r="P411" s="37">
        <f t="shared" si="83"/>
        <v>0.54779129106616176</v>
      </c>
      <c r="Q411" s="39">
        <f t="shared" si="84"/>
        <v>0.79641313780293199</v>
      </c>
    </row>
    <row r="412" spans="2:17" customFormat="1" x14ac:dyDescent="0.25">
      <c r="B412" s="41" t="s">
        <v>1072</v>
      </c>
      <c r="C412" s="3" t="s">
        <v>554</v>
      </c>
      <c r="D412" s="3">
        <v>12.75</v>
      </c>
      <c r="E412" s="3">
        <v>12.342970233795278</v>
      </c>
      <c r="F412" s="3">
        <v>400</v>
      </c>
      <c r="G412" s="4">
        <v>16.829999999999998</v>
      </c>
      <c r="H412" s="7"/>
      <c r="I412" s="38">
        <f t="shared" si="85"/>
        <v>17.35153264186631</v>
      </c>
      <c r="J412" s="37">
        <f t="shared" si="86"/>
        <v>14.199999931186905</v>
      </c>
      <c r="K412" s="37">
        <f t="shared" si="87"/>
        <v>11.01410379704623</v>
      </c>
      <c r="L412" s="39">
        <f t="shared" si="88"/>
        <v>60.85710029687224</v>
      </c>
      <c r="M412" s="117"/>
      <c r="N412" s="38">
        <f t="shared" si="81"/>
        <v>1.3609045209306909</v>
      </c>
      <c r="O412" s="37">
        <f t="shared" si="82"/>
        <v>1.113725484798973</v>
      </c>
      <c r="P412" s="37">
        <f t="shared" si="83"/>
        <v>0.86385127819970431</v>
      </c>
      <c r="Q412" s="39">
        <f t="shared" si="84"/>
        <v>4.7731059056370384</v>
      </c>
    </row>
    <row r="413" spans="2:17" customFormat="1" x14ac:dyDescent="0.25">
      <c r="B413" s="41" t="s">
        <v>1072</v>
      </c>
      <c r="C413" s="3" t="s">
        <v>555</v>
      </c>
      <c r="D413" s="3">
        <v>9.75</v>
      </c>
      <c r="E413" s="3">
        <v>12.059264582292668</v>
      </c>
      <c r="F413" s="3">
        <v>500</v>
      </c>
      <c r="G413" s="4">
        <v>11.88</v>
      </c>
      <c r="H413" s="7"/>
      <c r="I413" s="38">
        <f t="shared" si="85"/>
        <v>14.50229947337486</v>
      </c>
      <c r="J413" s="37">
        <f t="shared" si="86"/>
        <v>11.860000006832509</v>
      </c>
      <c r="K413" s="37">
        <f t="shared" si="87"/>
        <v>8.6848007782656147</v>
      </c>
      <c r="L413" s="39">
        <f t="shared" si="88"/>
        <v>38.98491178132614</v>
      </c>
      <c r="M413" s="117"/>
      <c r="N413" s="38">
        <f t="shared" si="81"/>
        <v>1.4874153306025497</v>
      </c>
      <c r="O413" s="37">
        <f t="shared" si="82"/>
        <v>1.2164102571110267</v>
      </c>
      <c r="P413" s="37">
        <f t="shared" si="83"/>
        <v>0.89074879777083227</v>
      </c>
      <c r="Q413" s="39">
        <f t="shared" si="84"/>
        <v>3.9984524903924248</v>
      </c>
    </row>
    <row r="414" spans="2:17" customFormat="1" x14ac:dyDescent="0.25">
      <c r="B414" s="41" t="s">
        <v>1072</v>
      </c>
      <c r="C414" s="3" t="s">
        <v>556</v>
      </c>
      <c r="D414" s="3">
        <v>11.75</v>
      </c>
      <c r="E414" s="3">
        <v>12.073146634916059</v>
      </c>
      <c r="F414" s="3">
        <v>360</v>
      </c>
      <c r="G414" s="4">
        <v>15.18</v>
      </c>
      <c r="H414" s="7"/>
      <c r="I414" s="38">
        <f t="shared" si="85"/>
        <v>16.229537021584314</v>
      </c>
      <c r="J414" s="37">
        <f t="shared" si="86"/>
        <v>13.299999955494672</v>
      </c>
      <c r="K414" s="37">
        <f t="shared" si="87"/>
        <v>9.1882668951485496</v>
      </c>
      <c r="L414" s="39">
        <f t="shared" si="88"/>
        <v>47.146146860899194</v>
      </c>
      <c r="M414" s="117"/>
      <c r="N414" s="38">
        <f t="shared" si="81"/>
        <v>1.3812371933263246</v>
      </c>
      <c r="O414" s="37">
        <f t="shared" si="82"/>
        <v>1.1319148898293336</v>
      </c>
      <c r="P414" s="37">
        <f t="shared" si="83"/>
        <v>0.78198016128923831</v>
      </c>
      <c r="Q414" s="39">
        <f t="shared" si="84"/>
        <v>4.0124380307148249</v>
      </c>
    </row>
    <row r="415" spans="2:17" customFormat="1" x14ac:dyDescent="0.25">
      <c r="B415" s="41" t="s">
        <v>1072</v>
      </c>
      <c r="C415" s="3" t="s">
        <v>557</v>
      </c>
      <c r="D415" s="3">
        <v>3.9166666666666665</v>
      </c>
      <c r="E415" s="3">
        <v>9.7673108646345703</v>
      </c>
      <c r="F415" s="3">
        <v>700</v>
      </c>
      <c r="G415" s="4">
        <v>2.67</v>
      </c>
      <c r="H415" s="7"/>
      <c r="I415" s="38">
        <f t="shared" si="85"/>
        <v>4.4102107447363696</v>
      </c>
      <c r="J415" s="37">
        <f t="shared" si="86"/>
        <v>3.5600001242325008</v>
      </c>
      <c r="K415" s="37">
        <f t="shared" si="87"/>
        <v>1.0293269690798097</v>
      </c>
      <c r="L415" s="39">
        <f t="shared" si="88"/>
        <v>1.1916828805913264</v>
      </c>
      <c r="M415" s="117"/>
      <c r="N415" s="38">
        <f t="shared" si="81"/>
        <v>1.1260112539752434</v>
      </c>
      <c r="O415" s="37">
        <f t="shared" si="82"/>
        <v>0.90893620193170233</v>
      </c>
      <c r="P415" s="37">
        <f t="shared" si="83"/>
        <v>0.2628068857225046</v>
      </c>
      <c r="Q415" s="39">
        <f t="shared" si="84"/>
        <v>0.30425945887438122</v>
      </c>
    </row>
    <row r="416" spans="2:17" customFormat="1" x14ac:dyDescent="0.25">
      <c r="B416" s="41" t="s">
        <v>1072</v>
      </c>
      <c r="C416" s="3" t="s">
        <v>558</v>
      </c>
      <c r="D416" s="3">
        <v>7.416666666666667</v>
      </c>
      <c r="E416" s="3">
        <v>6.1947609841836222</v>
      </c>
      <c r="F416" s="3">
        <v>480</v>
      </c>
      <c r="G416" s="4">
        <v>6.45</v>
      </c>
      <c r="H416" s="7"/>
      <c r="I416" s="38">
        <f t="shared" si="85"/>
        <v>7.4773834197173965</v>
      </c>
      <c r="J416" s="37">
        <f t="shared" si="86"/>
        <v>4.9400000386597336</v>
      </c>
      <c r="K416" s="37">
        <f t="shared" si="87"/>
        <v>2.2578448568740024</v>
      </c>
      <c r="L416" s="39">
        <f t="shared" si="88"/>
        <v>4.6822682156202768</v>
      </c>
      <c r="M416" s="117"/>
      <c r="N416" s="38">
        <f t="shared" si="81"/>
        <v>1.0081865285012219</v>
      </c>
      <c r="O416" s="37">
        <f t="shared" si="82"/>
        <v>0.6660674209428854</v>
      </c>
      <c r="P416" s="37">
        <f t="shared" si="83"/>
        <v>0.30442852002795534</v>
      </c>
      <c r="Q416" s="39">
        <f t="shared" si="84"/>
        <v>0.63131706278026201</v>
      </c>
    </row>
    <row r="417" spans="2:17" customFormat="1" x14ac:dyDescent="0.25">
      <c r="B417" s="41" t="s">
        <v>1072</v>
      </c>
      <c r="C417" s="3" t="s">
        <v>559</v>
      </c>
      <c r="D417" s="3">
        <v>10.833333333333334</v>
      </c>
      <c r="E417" s="3">
        <v>6.1830812355268598</v>
      </c>
      <c r="F417" s="3">
        <v>480</v>
      </c>
      <c r="G417" s="4">
        <v>12.79</v>
      </c>
      <c r="H417" s="7"/>
      <c r="I417" s="38">
        <f t="shared" si="85"/>
        <v>9.9359662243734199</v>
      </c>
      <c r="J417" s="37">
        <f t="shared" si="86"/>
        <v>6.499999988766108</v>
      </c>
      <c r="K417" s="37">
        <f t="shared" si="87"/>
        <v>3.9772184819395595</v>
      </c>
      <c r="L417" s="39">
        <f t="shared" si="88"/>
        <v>11.33411387610078</v>
      </c>
      <c r="M417" s="117"/>
      <c r="N417" s="38">
        <f t="shared" si="81"/>
        <v>0.91716611301908491</v>
      </c>
      <c r="O417" s="37">
        <f t="shared" si="82"/>
        <v>0.59999999896302536</v>
      </c>
      <c r="P417" s="37">
        <f t="shared" si="83"/>
        <v>0.36712785987134394</v>
      </c>
      <c r="Q417" s="39">
        <f t="shared" si="84"/>
        <v>1.0462258962554565</v>
      </c>
    </row>
    <row r="418" spans="2:17" customFormat="1" x14ac:dyDescent="0.25">
      <c r="B418" s="41" t="s">
        <v>1072</v>
      </c>
      <c r="C418" s="3" t="s">
        <v>560</v>
      </c>
      <c r="D418" s="3">
        <v>3.5</v>
      </c>
      <c r="E418" s="3">
        <v>8.8248397551548479</v>
      </c>
      <c r="F418" s="3">
        <v>640</v>
      </c>
      <c r="G418" s="4">
        <v>3.53</v>
      </c>
      <c r="H418" s="7"/>
      <c r="I418" s="38">
        <f t="shared" si="85"/>
        <v>3.3405616273885386</v>
      </c>
      <c r="J418" s="37">
        <f t="shared" si="86"/>
        <v>2.6400001101563322</v>
      </c>
      <c r="K418" s="37">
        <f t="shared" si="87"/>
        <v>0.55053532396918092</v>
      </c>
      <c r="L418" s="39">
        <f t="shared" si="88"/>
        <v>0.46629017358625652</v>
      </c>
      <c r="M418" s="117"/>
      <c r="N418" s="38">
        <f t="shared" si="81"/>
        <v>0.95444617925386821</v>
      </c>
      <c r="O418" s="37">
        <f t="shared" si="82"/>
        <v>0.75428574575895202</v>
      </c>
      <c r="P418" s="37">
        <f t="shared" si="83"/>
        <v>0.15729580684833741</v>
      </c>
      <c r="Q418" s="39">
        <f t="shared" si="84"/>
        <v>0.13322576388178758</v>
      </c>
    </row>
    <row r="419" spans="2:17" customFormat="1" x14ac:dyDescent="0.25">
      <c r="B419" s="41" t="s">
        <v>1072</v>
      </c>
      <c r="C419" s="3" t="s">
        <v>561</v>
      </c>
      <c r="D419" s="3">
        <v>12.75</v>
      </c>
      <c r="E419" s="3">
        <v>14.950640001498504</v>
      </c>
      <c r="F419" s="3">
        <v>1200</v>
      </c>
      <c r="G419" s="4">
        <v>18.77</v>
      </c>
      <c r="H419" s="7"/>
      <c r="I419" s="38">
        <f t="shared" si="85"/>
        <v>21.838134610727483</v>
      </c>
      <c r="J419" s="37">
        <f t="shared" si="86"/>
        <v>17.199999916648927</v>
      </c>
      <c r="K419" s="37">
        <f t="shared" si="87"/>
        <v>45.495045163323816</v>
      </c>
      <c r="L419" s="39">
        <f t="shared" si="88"/>
        <v>315.45676736763545</v>
      </c>
      <c r="M419" s="117"/>
      <c r="N419" s="38">
        <f t="shared" si="81"/>
        <v>1.7127948714296064</v>
      </c>
      <c r="O419" s="37">
        <f t="shared" si="82"/>
        <v>1.3490196013057982</v>
      </c>
      <c r="P419" s="37">
        <f t="shared" si="83"/>
        <v>3.5682388363391229</v>
      </c>
      <c r="Q419" s="39">
        <f t="shared" si="84"/>
        <v>24.741707244520427</v>
      </c>
    </row>
    <row r="420" spans="2:17" customFormat="1" x14ac:dyDescent="0.25">
      <c r="B420" s="41" t="s">
        <v>1072</v>
      </c>
      <c r="C420" s="3" t="s">
        <v>562</v>
      </c>
      <c r="D420" s="3">
        <v>13.75</v>
      </c>
      <c r="E420" s="3">
        <v>13.066474885038646</v>
      </c>
      <c r="F420" s="3">
        <v>800</v>
      </c>
      <c r="G420" s="4">
        <v>21.88</v>
      </c>
      <c r="H420" s="7"/>
      <c r="I420" s="38">
        <f t="shared" si="85"/>
        <v>19.353277856212113</v>
      </c>
      <c r="J420" s="37">
        <f t="shared" si="86"/>
        <v>15.599999904409795</v>
      </c>
      <c r="K420" s="37">
        <f t="shared" si="87"/>
        <v>22.119044849871401</v>
      </c>
      <c r="L420" s="39">
        <f t="shared" si="88"/>
        <v>135.58680967355983</v>
      </c>
      <c r="M420" s="117"/>
      <c r="N420" s="38">
        <f t="shared" si="81"/>
        <v>1.4075111168154264</v>
      </c>
      <c r="O420" s="37">
        <f t="shared" si="82"/>
        <v>1.1345454475934396</v>
      </c>
      <c r="P420" s="37">
        <f t="shared" si="83"/>
        <v>1.6086578072633746</v>
      </c>
      <c r="Q420" s="39">
        <f t="shared" si="84"/>
        <v>9.8608588853498063</v>
      </c>
    </row>
    <row r="421" spans="2:17" customFormat="1" x14ac:dyDescent="0.25">
      <c r="B421" s="41" t="s">
        <v>1072</v>
      </c>
      <c r="C421" s="3" t="s">
        <v>563</v>
      </c>
      <c r="D421" s="3">
        <v>11.75</v>
      </c>
      <c r="E421" s="3">
        <v>16.70269910394402</v>
      </c>
      <c r="F421" s="3">
        <v>580</v>
      </c>
      <c r="G421" s="4">
        <v>23.35</v>
      </c>
      <c r="H421" s="7"/>
      <c r="I421" s="38">
        <f t="shared" si="85"/>
        <v>23.268793033111226</v>
      </c>
      <c r="J421" s="37">
        <f t="shared" si="86"/>
        <v>18.399999938428717</v>
      </c>
      <c r="K421" s="37">
        <f t="shared" si="87"/>
        <v>24.586007151141999</v>
      </c>
      <c r="L421" s="39">
        <f t="shared" si="88"/>
        <v>191.29754989685475</v>
      </c>
      <c r="M421" s="117"/>
      <c r="N421" s="38">
        <f t="shared" si="81"/>
        <v>1.9803228113286151</v>
      </c>
      <c r="O421" s="37">
        <f t="shared" si="82"/>
        <v>1.5659574415684014</v>
      </c>
      <c r="P421" s="37">
        <f t="shared" si="83"/>
        <v>2.0924261405227234</v>
      </c>
      <c r="Q421" s="39">
        <f t="shared" si="84"/>
        <v>16.280642544413169</v>
      </c>
    </row>
    <row r="422" spans="2:17" customFormat="1" x14ac:dyDescent="0.25">
      <c r="B422" s="41" t="s">
        <v>1072</v>
      </c>
      <c r="C422" s="3" t="s">
        <v>564</v>
      </c>
      <c r="D422" s="3">
        <v>11.75</v>
      </c>
      <c r="E422" s="3">
        <v>14.070208484300666</v>
      </c>
      <c r="F422" s="3">
        <v>520</v>
      </c>
      <c r="G422" s="4">
        <v>20.34</v>
      </c>
      <c r="H422" s="7"/>
      <c r="I422" s="38">
        <f t="shared" si="85"/>
        <v>19.007844981231379</v>
      </c>
      <c r="J422" s="37">
        <f t="shared" si="86"/>
        <v>15.499999948132885</v>
      </c>
      <c r="K422" s="37">
        <f t="shared" si="87"/>
        <v>15.267114188845552</v>
      </c>
      <c r="L422" s="39">
        <f t="shared" si="88"/>
        <v>93.681647844165369</v>
      </c>
      <c r="M422" s="117"/>
      <c r="N422" s="38">
        <f t="shared" si="81"/>
        <v>1.6176889345728833</v>
      </c>
      <c r="O422" s="37">
        <f t="shared" si="82"/>
        <v>1.3191489317559901</v>
      </c>
      <c r="P422" s="37">
        <f t="shared" si="83"/>
        <v>1.2993288671357917</v>
      </c>
      <c r="Q422" s="39">
        <f t="shared" si="84"/>
        <v>7.972906199503436</v>
      </c>
    </row>
    <row r="423" spans="2:17" customFormat="1" x14ac:dyDescent="0.25">
      <c r="B423" s="41" t="s">
        <v>1072</v>
      </c>
      <c r="C423" s="3" t="s">
        <v>565</v>
      </c>
      <c r="D423" s="3">
        <v>13.833333333333334</v>
      </c>
      <c r="E423" s="3">
        <v>15.075601247122943</v>
      </c>
      <c r="F423" s="3">
        <v>430</v>
      </c>
      <c r="G423" s="4">
        <v>24.28</v>
      </c>
      <c r="H423" s="7"/>
      <c r="I423" s="38">
        <f t="shared" si="85"/>
        <v>22.276553174725297</v>
      </c>
      <c r="J423" s="37">
        <f t="shared" si="86"/>
        <v>18.049999887620483</v>
      </c>
      <c r="K423" s="37">
        <f t="shared" si="87"/>
        <v>18.813157217779068</v>
      </c>
      <c r="L423" s="39">
        <f t="shared" si="88"/>
        <v>139.32548884179619</v>
      </c>
      <c r="M423" s="117"/>
      <c r="N423" s="38">
        <f t="shared" si="81"/>
        <v>1.610353241546407</v>
      </c>
      <c r="O423" s="37">
        <f t="shared" si="82"/>
        <v>1.3048192689846132</v>
      </c>
      <c r="P423" s="37">
        <f t="shared" si="83"/>
        <v>1.3599872687551133</v>
      </c>
      <c r="Q423" s="39">
        <f t="shared" si="84"/>
        <v>10.071722084949121</v>
      </c>
    </row>
    <row r="424" spans="2:17" customFormat="1" x14ac:dyDescent="0.25">
      <c r="B424" s="41" t="s">
        <v>1072</v>
      </c>
      <c r="C424" s="3" t="s">
        <v>566</v>
      </c>
      <c r="D424" s="3">
        <v>13.833333333333334</v>
      </c>
      <c r="E424" s="3">
        <v>15.075601247122943</v>
      </c>
      <c r="F424" s="3">
        <v>330</v>
      </c>
      <c r="G424" s="4">
        <v>22.83</v>
      </c>
      <c r="H424" s="7"/>
      <c r="I424" s="38">
        <f t="shared" si="85"/>
        <v>22.187624937072655</v>
      </c>
      <c r="J424" s="37">
        <f t="shared" si="86"/>
        <v>18.049999887620483</v>
      </c>
      <c r="K424" s="37">
        <f t="shared" si="87"/>
        <v>16.556130845510925</v>
      </c>
      <c r="L424" s="39">
        <f t="shared" si="88"/>
        <v>122.74546759131307</v>
      </c>
      <c r="M424" s="117"/>
      <c r="N424" s="38">
        <f t="shared" si="81"/>
        <v>1.603924694246216</v>
      </c>
      <c r="O424" s="37">
        <f t="shared" si="82"/>
        <v>1.3048192689846132</v>
      </c>
      <c r="P424" s="37">
        <f t="shared" si="83"/>
        <v>1.1968287358200669</v>
      </c>
      <c r="Q424" s="39">
        <f t="shared" si="84"/>
        <v>8.8731663319021497</v>
      </c>
    </row>
    <row r="425" spans="2:17" customFormat="1" x14ac:dyDescent="0.25">
      <c r="B425" s="41" t="s">
        <v>1072</v>
      </c>
      <c r="C425" s="3" t="s">
        <v>567</v>
      </c>
      <c r="D425" s="3">
        <v>13.833333333333334</v>
      </c>
      <c r="E425" s="3">
        <v>16.87130998292983</v>
      </c>
      <c r="F425" s="3">
        <v>520</v>
      </c>
      <c r="G425" s="4">
        <v>24.66</v>
      </c>
      <c r="H425" s="7"/>
      <c r="I425" s="38">
        <f t="shared" si="85"/>
        <v>25.622393138871857</v>
      </c>
      <c r="J425" s="37">
        <f t="shared" si="86"/>
        <v>20.199999874234557</v>
      </c>
      <c r="K425" s="37">
        <f t="shared" si="87"/>
        <v>27.723786490382</v>
      </c>
      <c r="L425" s="39">
        <f t="shared" si="88"/>
        <v>241.28547563259559</v>
      </c>
      <c r="M425" s="117"/>
      <c r="N425" s="38">
        <f t="shared" si="81"/>
        <v>1.8522211907618209</v>
      </c>
      <c r="O425" s="37">
        <f t="shared" si="82"/>
        <v>1.4602409547639439</v>
      </c>
      <c r="P425" s="37">
        <f t="shared" si="83"/>
        <v>2.004129143883036</v>
      </c>
      <c r="Q425" s="39">
        <f t="shared" si="84"/>
        <v>17.442323539705704</v>
      </c>
    </row>
    <row r="426" spans="2:17" customFormat="1" x14ac:dyDescent="0.25">
      <c r="B426" s="41" t="s">
        <v>1072</v>
      </c>
      <c r="C426" s="3" t="s">
        <v>568</v>
      </c>
      <c r="D426" s="3">
        <v>15.333333333333334</v>
      </c>
      <c r="E426" s="3">
        <v>14.885104869816068</v>
      </c>
      <c r="F426" s="3">
        <v>520</v>
      </c>
      <c r="G426" s="4">
        <v>25.54</v>
      </c>
      <c r="H426" s="7"/>
      <c r="I426" s="38">
        <f t="shared" si="85"/>
        <v>23.10607044677624</v>
      </c>
      <c r="J426" s="37">
        <f t="shared" si="86"/>
        <v>18.65999985417433</v>
      </c>
      <c r="K426" s="37">
        <f t="shared" si="87"/>
        <v>22.535593824704947</v>
      </c>
      <c r="L426" s="39">
        <f t="shared" si="88"/>
        <v>172.80580946942715</v>
      </c>
      <c r="M426" s="117"/>
      <c r="N426" s="38">
        <f t="shared" si="81"/>
        <v>1.506917637833233</v>
      </c>
      <c r="O426" s="37">
        <f t="shared" si="82"/>
        <v>1.2169565122287607</v>
      </c>
      <c r="P426" s="37">
        <f t="shared" si="83"/>
        <v>1.469712640741627</v>
      </c>
      <c r="Q426" s="39">
        <f t="shared" si="84"/>
        <v>11.269944095832205</v>
      </c>
    </row>
    <row r="427" spans="2:17" customFormat="1" x14ac:dyDescent="0.25">
      <c r="B427" s="41" t="s">
        <v>1072</v>
      </c>
      <c r="C427" s="3" t="s">
        <v>569</v>
      </c>
      <c r="D427" s="3">
        <v>13.666666666666666</v>
      </c>
      <c r="E427" s="3">
        <v>12.180169281130629</v>
      </c>
      <c r="F427" s="3">
        <v>680</v>
      </c>
      <c r="G427" s="4">
        <v>19.53</v>
      </c>
      <c r="H427" s="7"/>
      <c r="I427" s="38">
        <f t="shared" si="85"/>
        <v>17.953745460934265</v>
      </c>
      <c r="J427" s="37">
        <f t="shared" si="86"/>
        <v>14.499999912594847</v>
      </c>
      <c r="K427" s="37">
        <f t="shared" si="87"/>
        <v>16.486682649615545</v>
      </c>
      <c r="L427" s="39">
        <f t="shared" si="88"/>
        <v>93.088715736999973</v>
      </c>
      <c r="M427" s="117"/>
      <c r="N427" s="38">
        <f t="shared" si="81"/>
        <v>1.3136886922634827</v>
      </c>
      <c r="O427" s="37">
        <f t="shared" si="82"/>
        <v>1.0609756033605986</v>
      </c>
      <c r="P427" s="37">
        <f t="shared" si="83"/>
        <v>1.2063426328986986</v>
      </c>
      <c r="Q427" s="39">
        <f t="shared" si="84"/>
        <v>6.8113694441707304</v>
      </c>
    </row>
    <row r="428" spans="2:17" customFormat="1" x14ac:dyDescent="0.25">
      <c r="B428" s="41" t="s">
        <v>1072</v>
      </c>
      <c r="C428" s="3" t="s">
        <v>570</v>
      </c>
      <c r="D428" s="3">
        <v>13.666666666666666</v>
      </c>
      <c r="E428" s="3">
        <v>12.180169281130629</v>
      </c>
      <c r="F428" s="3">
        <v>540</v>
      </c>
      <c r="G428" s="4">
        <v>18.260000000000002</v>
      </c>
      <c r="H428" s="7"/>
      <c r="I428" s="38">
        <f t="shared" si="85"/>
        <v>17.853485476322561</v>
      </c>
      <c r="J428" s="37">
        <f t="shared" si="86"/>
        <v>14.499999912594847</v>
      </c>
      <c r="K428" s="37">
        <f t="shared" si="87"/>
        <v>13.785715437952227</v>
      </c>
      <c r="L428" s="39">
        <f t="shared" si="88"/>
        <v>77.958214460874871</v>
      </c>
      <c r="M428" s="117"/>
      <c r="N428" s="38">
        <f t="shared" si="81"/>
        <v>1.3063525958284801</v>
      </c>
      <c r="O428" s="37">
        <f t="shared" si="82"/>
        <v>1.0609756033605986</v>
      </c>
      <c r="P428" s="37">
        <f t="shared" si="83"/>
        <v>1.0087108857038216</v>
      </c>
      <c r="Q428" s="39">
        <f t="shared" si="84"/>
        <v>5.7042595946981614</v>
      </c>
    </row>
    <row r="429" spans="2:17" customFormat="1" x14ac:dyDescent="0.25">
      <c r="B429" s="41" t="s">
        <v>1072</v>
      </c>
      <c r="C429" s="3" t="s">
        <v>571</v>
      </c>
      <c r="D429" s="3">
        <v>13.666666666666666</v>
      </c>
      <c r="E429" s="3">
        <v>10.978952586508782</v>
      </c>
      <c r="F429" s="3">
        <v>360</v>
      </c>
      <c r="G429" s="4">
        <v>20.7</v>
      </c>
      <c r="H429" s="7"/>
      <c r="I429" s="38">
        <f t="shared" si="85"/>
        <v>16.180408867960683</v>
      </c>
      <c r="J429" s="37">
        <f t="shared" si="86"/>
        <v>13.069999921214805</v>
      </c>
      <c r="K429" s="37">
        <f t="shared" si="87"/>
        <v>9.126334756527763</v>
      </c>
      <c r="L429" s="39">
        <f t="shared" si="88"/>
        <v>46.38763517617312</v>
      </c>
      <c r="M429" s="117"/>
      <c r="N429" s="38">
        <f t="shared" si="81"/>
        <v>1.1839323561922452</v>
      </c>
      <c r="O429" s="37">
        <f t="shared" si="82"/>
        <v>0.95634145764986378</v>
      </c>
      <c r="P429" s="37">
        <f t="shared" si="83"/>
        <v>0.66778059194105588</v>
      </c>
      <c r="Q429" s="39">
        <f t="shared" si="84"/>
        <v>3.3942172080126674</v>
      </c>
    </row>
    <row r="430" spans="2:17" customFormat="1" x14ac:dyDescent="0.25">
      <c r="B430" s="41" t="s">
        <v>1072</v>
      </c>
      <c r="C430" s="3" t="s">
        <v>572</v>
      </c>
      <c r="D430" s="3">
        <v>13.666666666666666</v>
      </c>
      <c r="E430" s="3">
        <v>12.684176285867071</v>
      </c>
      <c r="F430" s="3">
        <v>480</v>
      </c>
      <c r="G430" s="4">
        <v>20.11</v>
      </c>
      <c r="H430" s="7"/>
      <c r="I430" s="38">
        <f t="shared" si="85"/>
        <v>18.50541643958497</v>
      </c>
      <c r="J430" s="37">
        <f t="shared" si="86"/>
        <v>15.099999908978083</v>
      </c>
      <c r="K430" s="37">
        <f t="shared" si="87"/>
        <v>13.783834420078991</v>
      </c>
      <c r="L430" s="39">
        <f t="shared" si="88"/>
        <v>81.637152002164314</v>
      </c>
      <c r="M430" s="117"/>
      <c r="N430" s="38">
        <f t="shared" si="81"/>
        <v>1.3540548614330465</v>
      </c>
      <c r="O430" s="37">
        <f t="shared" si="82"/>
        <v>1.1048780421203475</v>
      </c>
      <c r="P430" s="37">
        <f t="shared" si="83"/>
        <v>1.0085732502496823</v>
      </c>
      <c r="Q430" s="39">
        <f t="shared" si="84"/>
        <v>5.973450146499828</v>
      </c>
    </row>
    <row r="431" spans="2:17" customFormat="1" x14ac:dyDescent="0.25">
      <c r="B431" s="41" t="s">
        <v>1072</v>
      </c>
      <c r="C431" s="3" t="s">
        <v>573</v>
      </c>
      <c r="D431" s="3">
        <v>13.666666666666666</v>
      </c>
      <c r="E431" s="3">
        <v>13.507387726936583</v>
      </c>
      <c r="F431" s="3">
        <v>560</v>
      </c>
      <c r="G431" s="4">
        <v>18.78</v>
      </c>
      <c r="H431" s="7"/>
      <c r="I431" s="38">
        <f t="shared" si="85"/>
        <v>19.762031694226177</v>
      </c>
      <c r="J431" s="37">
        <f t="shared" si="86"/>
        <v>16.079999903070696</v>
      </c>
      <c r="K431" s="37">
        <f t="shared" si="87"/>
        <v>17.300884169064975</v>
      </c>
      <c r="L431" s="39">
        <f t="shared" si="88"/>
        <v>110.29139096338281</v>
      </c>
      <c r="M431" s="117"/>
      <c r="N431" s="38">
        <f t="shared" si="81"/>
        <v>1.4460023190897204</v>
      </c>
      <c r="O431" s="37">
        <f t="shared" si="82"/>
        <v>1.1765853587612705</v>
      </c>
      <c r="P431" s="37">
        <f t="shared" si="83"/>
        <v>1.2659183538340226</v>
      </c>
      <c r="Q431" s="39">
        <f t="shared" si="84"/>
        <v>8.0701017778084978</v>
      </c>
    </row>
    <row r="432" spans="2:17" customFormat="1" x14ac:dyDescent="0.25">
      <c r="B432" s="41" t="s">
        <v>1072</v>
      </c>
      <c r="C432" s="3" t="s">
        <v>574</v>
      </c>
      <c r="D432" s="3">
        <v>13.666666666666666</v>
      </c>
      <c r="E432" s="3">
        <v>12.600175118410995</v>
      </c>
      <c r="F432" s="3">
        <v>400</v>
      </c>
      <c r="G432" s="4">
        <v>21.31</v>
      </c>
      <c r="H432" s="7"/>
      <c r="I432" s="38">
        <f t="shared" si="85"/>
        <v>18.32902771578555</v>
      </c>
      <c r="J432" s="37">
        <f t="shared" si="86"/>
        <v>14.999999909580875</v>
      </c>
      <c r="K432" s="37">
        <f t="shared" si="87"/>
        <v>12.286477033331318</v>
      </c>
      <c r="L432" s="39">
        <f t="shared" si="88"/>
        <v>72.281571375328866</v>
      </c>
      <c r="M432" s="117"/>
      <c r="N432" s="38">
        <f t="shared" si="81"/>
        <v>1.3411483694477233</v>
      </c>
      <c r="O432" s="37">
        <f t="shared" si="82"/>
        <v>1.0975609689937227</v>
      </c>
      <c r="P432" s="37">
        <f t="shared" si="83"/>
        <v>0.89901051463399895</v>
      </c>
      <c r="Q432" s="39">
        <f t="shared" si="84"/>
        <v>5.2888954664874781</v>
      </c>
    </row>
    <row r="433" spans="2:17" customFormat="1" x14ac:dyDescent="0.25">
      <c r="B433" s="41" t="s">
        <v>1072</v>
      </c>
      <c r="C433" s="3" t="s">
        <v>575</v>
      </c>
      <c r="D433" s="3">
        <v>13.666666666666666</v>
      </c>
      <c r="E433" s="3">
        <v>14.112196132620316</v>
      </c>
      <c r="F433" s="3">
        <v>340</v>
      </c>
      <c r="G433" s="4">
        <v>26.8</v>
      </c>
      <c r="H433" s="7"/>
      <c r="I433" s="38">
        <f t="shared" si="85"/>
        <v>20.509335331952443</v>
      </c>
      <c r="J433" s="37">
        <f t="shared" si="86"/>
        <v>16.799999898730579</v>
      </c>
      <c r="K433" s="37">
        <f t="shared" si="87"/>
        <v>14.317031761286067</v>
      </c>
      <c r="L433" s="39">
        <f t="shared" si="88"/>
        <v>96.635256599794531</v>
      </c>
      <c r="M433" s="117"/>
      <c r="N433" s="38">
        <f t="shared" si="81"/>
        <v>1.500683073069691</v>
      </c>
      <c r="O433" s="37">
        <f t="shared" si="82"/>
        <v>1.2292682852729693</v>
      </c>
      <c r="P433" s="37">
        <f t="shared" si="83"/>
        <v>1.0475876898502001</v>
      </c>
      <c r="Q433" s="39">
        <f t="shared" si="84"/>
        <v>7.0708724341313074</v>
      </c>
    </row>
    <row r="434" spans="2:17" customFormat="1" x14ac:dyDescent="0.25">
      <c r="B434" s="41" t="s">
        <v>1072</v>
      </c>
      <c r="C434" s="3" t="s">
        <v>576</v>
      </c>
      <c r="D434" s="3">
        <v>6.5</v>
      </c>
      <c r="E434" s="3">
        <v>12.912199326279767</v>
      </c>
      <c r="F434" s="3">
        <v>540</v>
      </c>
      <c r="G434" s="4">
        <v>15.3</v>
      </c>
      <c r="H434" s="7"/>
      <c r="I434" s="38">
        <f t="shared" si="85"/>
        <v>10.987571576619514</v>
      </c>
      <c r="J434" s="37">
        <f t="shared" si="86"/>
        <v>9.1000001100921395</v>
      </c>
      <c r="K434" s="37">
        <f t="shared" si="87"/>
        <v>5.2451751487413407</v>
      </c>
      <c r="L434" s="39">
        <f t="shared" si="88"/>
        <v>17.305312139928535</v>
      </c>
      <c r="M434" s="117"/>
      <c r="N434" s="38">
        <f t="shared" si="81"/>
        <v>1.6903956271722329</v>
      </c>
      <c r="O434" s="37">
        <f t="shared" si="82"/>
        <v>1.4000000169372522</v>
      </c>
      <c r="P434" s="37">
        <f t="shared" si="83"/>
        <v>0.80695002288328321</v>
      </c>
      <c r="Q434" s="39">
        <f t="shared" si="84"/>
        <v>2.6623557138351592</v>
      </c>
    </row>
    <row r="435" spans="2:17" customFormat="1" x14ac:dyDescent="0.25">
      <c r="B435" s="41" t="s">
        <v>1072</v>
      </c>
      <c r="C435" s="3" t="s">
        <v>577</v>
      </c>
      <c r="D435" s="3">
        <v>6.5</v>
      </c>
      <c r="E435" s="3">
        <v>12.486522425413403</v>
      </c>
      <c r="F435" s="3">
        <v>820</v>
      </c>
      <c r="G435" s="4">
        <v>16.52</v>
      </c>
      <c r="H435" s="7"/>
      <c r="I435" s="38">
        <f t="shared" si="85"/>
        <v>10.757970926721283</v>
      </c>
      <c r="J435" s="37">
        <f t="shared" si="86"/>
        <v>8.8000001064627291</v>
      </c>
      <c r="K435" s="37">
        <f t="shared" si="87"/>
        <v>7.0322104247894979</v>
      </c>
      <c r="L435" s="39">
        <f t="shared" si="88"/>
        <v>22.256254320898059</v>
      </c>
      <c r="M435" s="117"/>
      <c r="N435" s="38">
        <f t="shared" si="81"/>
        <v>1.6550724502648129</v>
      </c>
      <c r="O435" s="37">
        <f t="shared" si="82"/>
        <v>1.3538461702250353</v>
      </c>
      <c r="P435" s="37">
        <f t="shared" si="83"/>
        <v>1.0818785268906921</v>
      </c>
      <c r="Q435" s="39">
        <f t="shared" si="84"/>
        <v>3.4240391262920089</v>
      </c>
    </row>
    <row r="436" spans="2:17" customFormat="1" x14ac:dyDescent="0.25">
      <c r="B436" s="41" t="s">
        <v>1072</v>
      </c>
      <c r="C436" s="3" t="s">
        <v>578</v>
      </c>
      <c r="D436" s="3">
        <v>14.75</v>
      </c>
      <c r="E436" s="3">
        <v>12.946487032220436</v>
      </c>
      <c r="F436" s="3">
        <v>500</v>
      </c>
      <c r="G436" s="4">
        <v>23.08</v>
      </c>
      <c r="H436" s="7"/>
      <c r="I436" s="38">
        <f t="shared" si="85"/>
        <v>19.586044411737468</v>
      </c>
      <c r="J436" s="37">
        <f t="shared" si="86"/>
        <v>15.959999884523217</v>
      </c>
      <c r="K436" s="37">
        <f t="shared" si="87"/>
        <v>15.810435109876595</v>
      </c>
      <c r="L436" s="39">
        <f t="shared" si="88"/>
        <v>99.810076161378205</v>
      </c>
      <c r="M436" s="117"/>
      <c r="N436" s="38">
        <f t="shared" si="81"/>
        <v>1.327867417744913</v>
      </c>
      <c r="O436" s="37">
        <f t="shared" si="82"/>
        <v>1.0820338904761504</v>
      </c>
      <c r="P436" s="37">
        <f t="shared" si="83"/>
        <v>1.0718939057543455</v>
      </c>
      <c r="Q436" s="39">
        <f t="shared" si="84"/>
        <v>6.7667848245002169</v>
      </c>
    </row>
    <row r="437" spans="2:17" customFormat="1" x14ac:dyDescent="0.25">
      <c r="B437" s="41" t="s">
        <v>1072</v>
      </c>
      <c r="C437" s="3" t="s">
        <v>579</v>
      </c>
      <c r="D437" s="3">
        <v>14.75</v>
      </c>
      <c r="E437" s="3">
        <v>13.238513055503601</v>
      </c>
      <c r="F437" s="3">
        <v>420</v>
      </c>
      <c r="G437" s="4">
        <v>23.78</v>
      </c>
      <c r="H437" s="7"/>
      <c r="I437" s="38">
        <f t="shared" si="85"/>
        <v>19.961156309326512</v>
      </c>
      <c r="J437" s="37">
        <f t="shared" si="86"/>
        <v>16.319999881918477</v>
      </c>
      <c r="K437" s="37">
        <f t="shared" si="87"/>
        <v>14.921157380401654</v>
      </c>
      <c r="L437" s="39">
        <f t="shared" si="88"/>
        <v>96.802534786419429</v>
      </c>
      <c r="M437" s="117"/>
      <c r="N437" s="38">
        <f t="shared" si="81"/>
        <v>1.3532987328356958</v>
      </c>
      <c r="O437" s="37">
        <f t="shared" si="82"/>
        <v>1.1064406699605747</v>
      </c>
      <c r="P437" s="37">
        <f t="shared" si="83"/>
        <v>1.0116038901967224</v>
      </c>
      <c r="Q437" s="39">
        <f t="shared" si="84"/>
        <v>6.5628837143335206</v>
      </c>
    </row>
    <row r="438" spans="2:17" customFormat="1" x14ac:dyDescent="0.25">
      <c r="B438" s="41" t="s">
        <v>1072</v>
      </c>
      <c r="C438" s="3" t="s">
        <v>580</v>
      </c>
      <c r="D438" s="3">
        <v>14.75</v>
      </c>
      <c r="E438" s="3">
        <v>11.324120236202836</v>
      </c>
      <c r="F438" s="3">
        <v>440</v>
      </c>
      <c r="G438" s="4">
        <v>19.21</v>
      </c>
      <c r="H438" s="7"/>
      <c r="I438" s="38">
        <f t="shared" si="85"/>
        <v>17.274744567631398</v>
      </c>
      <c r="J438" s="37">
        <f t="shared" si="86"/>
        <v>13.959999898993992</v>
      </c>
      <c r="K438" s="37">
        <f t="shared" si="87"/>
        <v>11.445553645903912</v>
      </c>
      <c r="L438" s="39">
        <f t="shared" si="88"/>
        <v>62.434349544127549</v>
      </c>
      <c r="M438" s="117"/>
      <c r="N438" s="38">
        <f t="shared" si="81"/>
        <v>1.1711691232292474</v>
      </c>
      <c r="O438" s="37">
        <f t="shared" si="82"/>
        <v>0.94644067111823671</v>
      </c>
      <c r="P438" s="37">
        <f t="shared" si="83"/>
        <v>0.77596973870535002</v>
      </c>
      <c r="Q438" s="39">
        <f t="shared" si="84"/>
        <v>4.2328372572289865</v>
      </c>
    </row>
    <row r="439" spans="2:17" customFormat="1" x14ac:dyDescent="0.25">
      <c r="B439" s="41" t="s">
        <v>1072</v>
      </c>
      <c r="C439" s="3" t="s">
        <v>581</v>
      </c>
      <c r="D439" s="3">
        <v>14.75</v>
      </c>
      <c r="E439" s="3">
        <v>13.546762746746948</v>
      </c>
      <c r="F439" s="3">
        <v>280</v>
      </c>
      <c r="G439" s="4">
        <v>26.75</v>
      </c>
      <c r="H439" s="7"/>
      <c r="I439" s="38">
        <f t="shared" si="85"/>
        <v>20.319699319726222</v>
      </c>
      <c r="J439" s="37">
        <f t="shared" si="86"/>
        <v>16.699999879169035</v>
      </c>
      <c r="K439" s="37">
        <f t="shared" si="87"/>
        <v>13.074634360621419</v>
      </c>
      <c r="L439" s="39">
        <f t="shared" si="88"/>
        <v>87.355723062618551</v>
      </c>
      <c r="M439" s="117"/>
      <c r="N439" s="38">
        <f t="shared" si="81"/>
        <v>1.3776067335407609</v>
      </c>
      <c r="O439" s="37">
        <f t="shared" si="82"/>
        <v>1.1322033816385786</v>
      </c>
      <c r="P439" s="37">
        <f t="shared" si="83"/>
        <v>0.88641588885568945</v>
      </c>
      <c r="Q439" s="39">
        <f t="shared" si="84"/>
        <v>5.9224219025504103</v>
      </c>
    </row>
    <row r="440" spans="2:17" customFormat="1" x14ac:dyDescent="0.25">
      <c r="B440" s="41" t="s">
        <v>1072</v>
      </c>
      <c r="C440" s="3" t="s">
        <v>582</v>
      </c>
      <c r="D440" s="3">
        <v>14.75</v>
      </c>
      <c r="E440" s="3">
        <v>12.005514290530225</v>
      </c>
      <c r="F440" s="3">
        <v>480</v>
      </c>
      <c r="G440" s="4">
        <v>17.559999999999999</v>
      </c>
      <c r="H440" s="7"/>
      <c r="I440" s="38">
        <f t="shared" si="85"/>
        <v>18.221053318934182</v>
      </c>
      <c r="J440" s="37">
        <f t="shared" si="86"/>
        <v>14.799999892916265</v>
      </c>
      <c r="K440" s="37">
        <f t="shared" si="87"/>
        <v>13.359191392234941</v>
      </c>
      <c r="L440" s="39">
        <f t="shared" si="88"/>
        <v>77.471620796176595</v>
      </c>
      <c r="M440" s="117"/>
      <c r="N440" s="38">
        <f t="shared" si="81"/>
        <v>1.2353256487413005</v>
      </c>
      <c r="O440" s="37">
        <f t="shared" si="82"/>
        <v>1.0033898232485603</v>
      </c>
      <c r="P440" s="37">
        <f t="shared" si="83"/>
        <v>0.90570789099897897</v>
      </c>
      <c r="Q440" s="39">
        <f t="shared" si="84"/>
        <v>5.2523132743170571</v>
      </c>
    </row>
    <row r="441" spans="2:17" customFormat="1" x14ac:dyDescent="0.25">
      <c r="B441" s="41" t="s">
        <v>1072</v>
      </c>
      <c r="C441" s="3" t="s">
        <v>583</v>
      </c>
      <c r="D441" s="3">
        <v>12.666666666666666</v>
      </c>
      <c r="E441" s="3">
        <v>14.390353733470748</v>
      </c>
      <c r="F441" s="3">
        <v>1280</v>
      </c>
      <c r="G441" s="4">
        <v>17.91</v>
      </c>
      <c r="H441" s="7"/>
      <c r="I441" s="38">
        <f t="shared" ref="I441:I463" si="89">EXP(2.426552 -6.706013/D441+ 0.075921*E441+ 0.00004*F441)</f>
        <v>20.923228783676105</v>
      </c>
      <c r="J441" s="37">
        <f t="shared" ref="J441:J463" si="90">EXP(LN(E441) -6.498108 * (1/D441- 0.1))</f>
        <v>16.499999921954018</v>
      </c>
      <c r="K441" s="37">
        <f t="shared" ref="K441:K463" si="91">EXP(1.060976 -13.35596/D441+ 0.15187*E441+ 0.001278*F441)</f>
        <v>45.964121591946274</v>
      </c>
      <c r="L441" s="39">
        <f t="shared" ref="L441:L463" si="92">EXP(2.246512 -20.855741/D441+ 0.242321*E441+ 0.001267*F441)</f>
        <v>301.52442926135802</v>
      </c>
      <c r="M441" s="117"/>
      <c r="N441" s="38">
        <f t="shared" si="81"/>
        <v>1.6518338513428505</v>
      </c>
      <c r="O441" s="37">
        <f t="shared" si="82"/>
        <v>1.3026315727858435</v>
      </c>
      <c r="P441" s="37">
        <f t="shared" si="83"/>
        <v>3.6287464414694428</v>
      </c>
      <c r="Q441" s="39">
        <f t="shared" si="84"/>
        <v>23.804560204844055</v>
      </c>
    </row>
    <row r="442" spans="2:17" customFormat="1" x14ac:dyDescent="0.25">
      <c r="B442" s="41" t="s">
        <v>1072</v>
      </c>
      <c r="C442" s="3" t="s">
        <v>584</v>
      </c>
      <c r="D442" s="3">
        <v>11.583333333333334</v>
      </c>
      <c r="E442" s="3">
        <v>17.257040672655815</v>
      </c>
      <c r="F442" s="3">
        <v>380</v>
      </c>
      <c r="G442" s="4">
        <v>22.97</v>
      </c>
      <c r="H442" s="7"/>
      <c r="I442" s="38">
        <f t="shared" si="89"/>
        <v>23.878713434790843</v>
      </c>
      <c r="J442" s="37">
        <f t="shared" si="90"/>
        <v>18.859999942078375</v>
      </c>
      <c r="K442" s="37">
        <f t="shared" si="91"/>
        <v>20.377069998209016</v>
      </c>
      <c r="L442" s="39">
        <f t="shared" si="92"/>
        <v>165.54113717797279</v>
      </c>
      <c r="M442" s="117"/>
      <c r="N442" s="38">
        <f t="shared" si="81"/>
        <v>2.0614716634351806</v>
      </c>
      <c r="O442" s="37">
        <f t="shared" si="82"/>
        <v>1.6282014338484927</v>
      </c>
      <c r="P442" s="37">
        <f t="shared" si="83"/>
        <v>1.7591715106367496</v>
      </c>
      <c r="Q442" s="39">
        <f t="shared" si="84"/>
        <v>14.291321195220672</v>
      </c>
    </row>
    <row r="443" spans="2:17" customFormat="1" x14ac:dyDescent="0.25">
      <c r="B443" s="41" t="s">
        <v>1072</v>
      </c>
      <c r="C443" s="3" t="s">
        <v>585</v>
      </c>
      <c r="D443" s="3">
        <v>7.583333333333333</v>
      </c>
      <c r="E443" s="3">
        <v>10.652528612438662</v>
      </c>
      <c r="F443" s="3">
        <v>920</v>
      </c>
      <c r="G443" s="4">
        <v>13.27</v>
      </c>
      <c r="H443" s="7"/>
      <c r="I443" s="38">
        <f t="shared" si="89"/>
        <v>10.88943679734054</v>
      </c>
      <c r="J443" s="37">
        <f t="shared" si="90"/>
        <v>8.6600000620061426</v>
      </c>
      <c r="K443" s="37">
        <f t="shared" si="91"/>
        <v>8.1117207817892858</v>
      </c>
      <c r="L443" s="39">
        <f t="shared" si="92"/>
        <v>25.617501788291367</v>
      </c>
      <c r="M443" s="117"/>
      <c r="N443" s="38">
        <f t="shared" si="81"/>
        <v>1.4359696875613899</v>
      </c>
      <c r="O443" s="37">
        <f t="shared" si="82"/>
        <v>1.1419780301546563</v>
      </c>
      <c r="P443" s="37">
        <f t="shared" si="83"/>
        <v>1.0696774657304553</v>
      </c>
      <c r="Q443" s="39">
        <f t="shared" si="84"/>
        <v>3.3781321039505099</v>
      </c>
    </row>
    <row r="444" spans="2:17" customFormat="1" x14ac:dyDescent="0.25">
      <c r="B444" s="41" t="s">
        <v>1072</v>
      </c>
      <c r="C444" s="3" t="s">
        <v>586</v>
      </c>
      <c r="D444" s="3">
        <v>8.5</v>
      </c>
      <c r="E444" s="3">
        <v>10.205705346455739</v>
      </c>
      <c r="F444" s="3">
        <v>1020</v>
      </c>
      <c r="G444" s="4">
        <v>11.29</v>
      </c>
      <c r="H444" s="7"/>
      <c r="I444" s="38">
        <f t="shared" si="89"/>
        <v>11.6259149031854</v>
      </c>
      <c r="J444" s="37">
        <f t="shared" si="90"/>
        <v>9.1000000360806172</v>
      </c>
      <c r="K444" s="37">
        <f t="shared" si="91"/>
        <v>10.414374957205004</v>
      </c>
      <c r="L444" s="39">
        <f t="shared" si="92"/>
        <v>35.103194475310559</v>
      </c>
      <c r="M444" s="117"/>
      <c r="N444" s="38">
        <f t="shared" si="81"/>
        <v>1.3677546944923999</v>
      </c>
      <c r="O444" s="37">
        <f t="shared" si="82"/>
        <v>1.0705882395388961</v>
      </c>
      <c r="P444" s="37">
        <f t="shared" si="83"/>
        <v>1.2252205832005887</v>
      </c>
      <c r="Q444" s="39">
        <f t="shared" si="84"/>
        <v>4.1297875853306536</v>
      </c>
    </row>
    <row r="445" spans="2:17" customFormat="1" x14ac:dyDescent="0.25">
      <c r="B445" s="41" t="s">
        <v>1072</v>
      </c>
      <c r="C445" s="3" t="s">
        <v>587</v>
      </c>
      <c r="D445" s="3">
        <v>12.75</v>
      </c>
      <c r="E445" s="3">
        <v>13.472960466466676</v>
      </c>
      <c r="F445" s="3">
        <v>500</v>
      </c>
      <c r="G445" s="4">
        <v>20.93</v>
      </c>
      <c r="H445" s="7"/>
      <c r="I445" s="38">
        <f t="shared" si="89"/>
        <v>18.981614022887459</v>
      </c>
      <c r="J445" s="37">
        <f t="shared" si="90"/>
        <v>15.499999924887115</v>
      </c>
      <c r="K445" s="37">
        <f t="shared" si="91"/>
        <v>14.858739810166844</v>
      </c>
      <c r="L445" s="39">
        <f t="shared" si="92"/>
        <v>90.835380340303161</v>
      </c>
      <c r="M445" s="117"/>
      <c r="N445" s="38">
        <f t="shared" si="81"/>
        <v>1.4887540410107811</v>
      </c>
      <c r="O445" s="37">
        <f t="shared" si="82"/>
        <v>1.2156862686185972</v>
      </c>
      <c r="P445" s="37">
        <f t="shared" si="83"/>
        <v>1.1653913576601447</v>
      </c>
      <c r="Q445" s="39">
        <f t="shared" si="84"/>
        <v>7.1243435561022084</v>
      </c>
    </row>
    <row r="446" spans="2:17" customFormat="1" x14ac:dyDescent="0.25">
      <c r="B446" s="41" t="s">
        <v>1072</v>
      </c>
      <c r="C446" s="3" t="s">
        <v>588</v>
      </c>
      <c r="D446" s="3">
        <v>9.3333333333333339</v>
      </c>
      <c r="E446" s="3">
        <v>9.2180800672831307</v>
      </c>
      <c r="F446" s="3">
        <v>820</v>
      </c>
      <c r="G446" s="4">
        <v>14.72</v>
      </c>
      <c r="H446" s="7"/>
      <c r="I446" s="38">
        <f t="shared" si="89"/>
        <v>11.481034085065954</v>
      </c>
      <c r="J446" s="37">
        <f t="shared" si="90"/>
        <v>8.8000000141226078</v>
      </c>
      <c r="K446" s="37">
        <f t="shared" si="91"/>
        <v>7.9875981336613355</v>
      </c>
      <c r="L446" s="39">
        <f t="shared" si="92"/>
        <v>26.699442937184394</v>
      </c>
      <c r="M446" s="117"/>
      <c r="N446" s="38">
        <f t="shared" si="81"/>
        <v>1.2301107948284951</v>
      </c>
      <c r="O446" s="37">
        <f t="shared" si="82"/>
        <v>0.94285714437027934</v>
      </c>
      <c r="P446" s="37">
        <f t="shared" si="83"/>
        <v>0.85581408574942874</v>
      </c>
      <c r="Q446" s="39">
        <f t="shared" si="84"/>
        <v>2.8606546004126132</v>
      </c>
    </row>
    <row r="447" spans="2:17" customFormat="1" x14ac:dyDescent="0.25">
      <c r="B447" s="41" t="s">
        <v>1072</v>
      </c>
      <c r="C447" s="3" t="s">
        <v>589</v>
      </c>
      <c r="D447" s="3">
        <v>9.3333333333333339</v>
      </c>
      <c r="E447" s="3">
        <v>10.160838255982538</v>
      </c>
      <c r="F447" s="3">
        <v>1060</v>
      </c>
      <c r="G447" s="4">
        <v>16.43</v>
      </c>
      <c r="H447" s="7"/>
      <c r="I447" s="38">
        <f t="shared" si="89"/>
        <v>12.451879910950204</v>
      </c>
      <c r="J447" s="37">
        <f t="shared" si="90"/>
        <v>9.7000000155669621</v>
      </c>
      <c r="K447" s="37">
        <f t="shared" si="91"/>
        <v>12.525753334764117</v>
      </c>
      <c r="L447" s="39">
        <f t="shared" si="92"/>
        <v>45.475458574591862</v>
      </c>
      <c r="M447" s="117"/>
      <c r="N447" s="38">
        <f t="shared" si="81"/>
        <v>1.3341299904589503</v>
      </c>
      <c r="O447" s="37">
        <f t="shared" si="82"/>
        <v>1.0392857159536031</v>
      </c>
      <c r="P447" s="37">
        <f t="shared" si="83"/>
        <v>1.3420450001532982</v>
      </c>
      <c r="Q447" s="39">
        <f t="shared" si="84"/>
        <v>4.8723705615634136</v>
      </c>
    </row>
    <row r="448" spans="2:17" customFormat="1" x14ac:dyDescent="0.25">
      <c r="B448" s="41" t="s">
        <v>1072</v>
      </c>
      <c r="C448" s="3" t="s">
        <v>590</v>
      </c>
      <c r="D448" s="3">
        <v>9.25</v>
      </c>
      <c r="E448" s="3">
        <v>14.209268592595658</v>
      </c>
      <c r="F448" s="3">
        <v>800</v>
      </c>
      <c r="G448" s="4">
        <v>21.42</v>
      </c>
      <c r="H448" s="7"/>
      <c r="I448" s="38">
        <f t="shared" si="89"/>
        <v>16.649155633537617</v>
      </c>
      <c r="J448" s="37">
        <f t="shared" si="90"/>
        <v>13.480000024556679</v>
      </c>
      <c r="K448" s="37">
        <f t="shared" si="91"/>
        <v>16.402767221094916</v>
      </c>
      <c r="L448" s="39">
        <f t="shared" si="92"/>
        <v>85.510696375394545</v>
      </c>
      <c r="M448" s="117"/>
      <c r="N448" s="38">
        <f t="shared" si="81"/>
        <v>1.7999087171392019</v>
      </c>
      <c r="O448" s="37">
        <f t="shared" si="82"/>
        <v>1.4572972999520735</v>
      </c>
      <c r="P448" s="37">
        <f t="shared" si="83"/>
        <v>1.7732721320102611</v>
      </c>
      <c r="Q448" s="39">
        <f t="shared" si="84"/>
        <v>9.2443996081507613</v>
      </c>
    </row>
    <row r="449" spans="2:17" customFormat="1" x14ac:dyDescent="0.25">
      <c r="B449" s="41" t="s">
        <v>1072</v>
      </c>
      <c r="C449" s="3" t="s">
        <v>591</v>
      </c>
      <c r="D449" s="3">
        <v>9.25</v>
      </c>
      <c r="E449" s="3">
        <v>14.862810619851539</v>
      </c>
      <c r="F449" s="3">
        <v>360</v>
      </c>
      <c r="G449" s="4">
        <v>23.62</v>
      </c>
      <c r="H449" s="7"/>
      <c r="I449" s="38">
        <f t="shared" si="89"/>
        <v>17.190846581874531</v>
      </c>
      <c r="J449" s="37">
        <f t="shared" si="90"/>
        <v>14.100000025686141</v>
      </c>
      <c r="K449" s="37">
        <f t="shared" si="91"/>
        <v>10.323093586531368</v>
      </c>
      <c r="L449" s="39">
        <f t="shared" si="92"/>
        <v>57.370396479505814</v>
      </c>
      <c r="M449" s="117"/>
      <c r="N449" s="38">
        <f t="shared" si="81"/>
        <v>1.8584699007431926</v>
      </c>
      <c r="O449" s="37">
        <f t="shared" si="82"/>
        <v>1.5243243271012044</v>
      </c>
      <c r="P449" s="37">
        <f t="shared" si="83"/>
        <v>1.1160101174628505</v>
      </c>
      <c r="Q449" s="39">
        <f t="shared" si="84"/>
        <v>6.2022050248114393</v>
      </c>
    </row>
    <row r="450" spans="2:17" customFormat="1" x14ac:dyDescent="0.25">
      <c r="B450" s="41" t="s">
        <v>1072</v>
      </c>
      <c r="C450" s="3" t="s">
        <v>592</v>
      </c>
      <c r="D450" s="3">
        <v>9.25</v>
      </c>
      <c r="E450" s="3">
        <v>17.919700747338737</v>
      </c>
      <c r="F450" s="3">
        <v>820</v>
      </c>
      <c r="G450" s="4">
        <v>20.78</v>
      </c>
      <c r="H450" s="7"/>
      <c r="I450" s="38">
        <f t="shared" si="89"/>
        <v>22.084129360468125</v>
      </c>
      <c r="J450" s="37">
        <f t="shared" si="90"/>
        <v>17.000000030969108</v>
      </c>
      <c r="K450" s="37">
        <f t="shared" si="91"/>
        <v>29.562698621603779</v>
      </c>
      <c r="L450" s="39">
        <f t="shared" si="92"/>
        <v>215.52935149307046</v>
      </c>
      <c r="M450" s="117"/>
      <c r="N450" s="38">
        <f t="shared" si="81"/>
        <v>2.3874734443749324</v>
      </c>
      <c r="O450" s="37">
        <f t="shared" si="82"/>
        <v>1.8378378411858496</v>
      </c>
      <c r="P450" s="37">
        <f t="shared" si="83"/>
        <v>3.1959674185517599</v>
      </c>
      <c r="Q450" s="39">
        <f t="shared" si="84"/>
        <v>23.300470431683294</v>
      </c>
    </row>
    <row r="451" spans="2:17" customFormat="1" x14ac:dyDescent="0.25">
      <c r="B451" s="41" t="s">
        <v>1072</v>
      </c>
      <c r="C451" s="3" t="s">
        <v>593</v>
      </c>
      <c r="D451" s="3">
        <v>9.25</v>
      </c>
      <c r="E451" s="3">
        <v>13.534644564460553</v>
      </c>
      <c r="F451" s="3">
        <v>600</v>
      </c>
      <c r="G451" s="4">
        <v>22.02</v>
      </c>
      <c r="H451" s="7"/>
      <c r="I451" s="38">
        <f t="shared" si="89"/>
        <v>15.691848467053418</v>
      </c>
      <c r="J451" s="37">
        <f t="shared" si="90"/>
        <v>12.840000023390784</v>
      </c>
      <c r="K451" s="37">
        <f t="shared" si="91"/>
        <v>11.466100533765363</v>
      </c>
      <c r="L451" s="39">
        <f t="shared" si="92"/>
        <v>56.360350321968468</v>
      </c>
      <c r="M451" s="117"/>
      <c r="N451" s="38">
        <f t="shared" si="81"/>
        <v>1.6964160504922614</v>
      </c>
      <c r="O451" s="37">
        <f t="shared" si="82"/>
        <v>1.3881081106368416</v>
      </c>
      <c r="P451" s="37">
        <f t="shared" si="83"/>
        <v>1.239578436082742</v>
      </c>
      <c r="Q451" s="39">
        <f t="shared" si="84"/>
        <v>6.0930108456182124</v>
      </c>
    </row>
    <row r="452" spans="2:17" customFormat="1" x14ac:dyDescent="0.25">
      <c r="B452" s="41" t="s">
        <v>1072</v>
      </c>
      <c r="C452" s="3" t="s">
        <v>594</v>
      </c>
      <c r="D452" s="3">
        <v>9.25</v>
      </c>
      <c r="E452" s="3">
        <v>12.912725538523503</v>
      </c>
      <c r="F452" s="3">
        <v>340</v>
      </c>
      <c r="G452" s="4">
        <v>24.25</v>
      </c>
      <c r="H452" s="7"/>
      <c r="I452" s="38">
        <f t="shared" si="89"/>
        <v>14.813288613851677</v>
      </c>
      <c r="J452" s="37">
        <f t="shared" si="90"/>
        <v>12.250000022315975</v>
      </c>
      <c r="K452" s="37">
        <f t="shared" si="91"/>
        <v>7.4832265802128077</v>
      </c>
      <c r="L452" s="39">
        <f t="shared" si="92"/>
        <v>34.870523117746124</v>
      </c>
      <c r="M452" s="117"/>
      <c r="N452" s="38">
        <f t="shared" si="81"/>
        <v>1.601436606902884</v>
      </c>
      <c r="O452" s="37">
        <f t="shared" si="82"/>
        <v>1.3243243267368621</v>
      </c>
      <c r="P452" s="37">
        <f t="shared" si="83"/>
        <v>0.80899746813111439</v>
      </c>
      <c r="Q452" s="39">
        <f t="shared" si="84"/>
        <v>3.769786282999581</v>
      </c>
    </row>
    <row r="453" spans="2:17" customFormat="1" x14ac:dyDescent="0.25">
      <c r="B453" s="41" t="s">
        <v>1072</v>
      </c>
      <c r="C453" s="3" t="s">
        <v>595</v>
      </c>
      <c r="D453" s="3">
        <v>9.25</v>
      </c>
      <c r="E453" s="3">
        <v>17.919700747338737</v>
      </c>
      <c r="F453" s="3">
        <v>800</v>
      </c>
      <c r="G453" s="4">
        <v>20.18</v>
      </c>
      <c r="H453" s="7"/>
      <c r="I453" s="38">
        <f t="shared" si="89"/>
        <v>22.066469122017011</v>
      </c>
      <c r="J453" s="37">
        <f t="shared" si="90"/>
        <v>17.000000030969108</v>
      </c>
      <c r="K453" s="37">
        <f t="shared" si="91"/>
        <v>28.816651148019151</v>
      </c>
      <c r="L453" s="39">
        <f t="shared" si="92"/>
        <v>210.13645430250361</v>
      </c>
      <c r="M453" s="117"/>
      <c r="N453" s="38">
        <f t="shared" si="81"/>
        <v>2.3855642294072443</v>
      </c>
      <c r="O453" s="37">
        <f t="shared" si="82"/>
        <v>1.8378378411858496</v>
      </c>
      <c r="P453" s="37">
        <f t="shared" si="83"/>
        <v>3.1153136376236921</v>
      </c>
      <c r="Q453" s="39">
        <f t="shared" si="84"/>
        <v>22.71745451918958</v>
      </c>
    </row>
    <row r="454" spans="2:17" customFormat="1" x14ac:dyDescent="0.25">
      <c r="B454" s="41" t="s">
        <v>1072</v>
      </c>
      <c r="C454" s="3" t="s">
        <v>596</v>
      </c>
      <c r="D454" s="3">
        <v>9.25</v>
      </c>
      <c r="E454" s="3">
        <v>16.022320668208749</v>
      </c>
      <c r="F454" s="3">
        <v>720</v>
      </c>
      <c r="G454" s="4">
        <v>21.9</v>
      </c>
      <c r="H454" s="7"/>
      <c r="I454" s="38">
        <f t="shared" si="89"/>
        <v>19.045069117137295</v>
      </c>
      <c r="J454" s="37">
        <f t="shared" si="90"/>
        <v>15.200000027690022</v>
      </c>
      <c r="K454" s="37">
        <f t="shared" si="91"/>
        <v>19.502804433143456</v>
      </c>
      <c r="L454" s="39">
        <f t="shared" si="92"/>
        <v>119.89568390607656</v>
      </c>
      <c r="M454" s="117"/>
      <c r="N454" s="38">
        <f t="shared" ref="N454:N477" si="93">I454/D454</f>
        <v>2.0589263910418696</v>
      </c>
      <c r="O454" s="37">
        <f t="shared" ref="O454:O477" si="94">J454/D454</f>
        <v>1.6432432462367592</v>
      </c>
      <c r="P454" s="37">
        <f t="shared" ref="P454:P477" si="95">K454/D454</f>
        <v>2.1084112900695628</v>
      </c>
      <c r="Q454" s="39">
        <f t="shared" ref="Q454:Q477" si="96">L454/D454</f>
        <v>12.961695557413682</v>
      </c>
    </row>
    <row r="455" spans="2:17" customFormat="1" x14ac:dyDescent="0.25">
      <c r="B455" s="41" t="s">
        <v>1072</v>
      </c>
      <c r="C455" s="3" t="s">
        <v>597</v>
      </c>
      <c r="D455" s="3">
        <v>9.25</v>
      </c>
      <c r="E455" s="3">
        <v>17.919700747338737</v>
      </c>
      <c r="F455" s="3">
        <v>840</v>
      </c>
      <c r="G455" s="4">
        <v>20.13</v>
      </c>
      <c r="H455" s="7"/>
      <c r="I455" s="38">
        <f t="shared" si="89"/>
        <v>22.101803732762782</v>
      </c>
      <c r="J455" s="37">
        <f t="shared" si="90"/>
        <v>17.000000030969108</v>
      </c>
      <c r="K455" s="37">
        <f t="shared" si="91"/>
        <v>30.328060859766143</v>
      </c>
      <c r="L455" s="39">
        <f t="shared" si="92"/>
        <v>221.06065084810021</v>
      </c>
      <c r="M455" s="117"/>
      <c r="N455" s="38">
        <f t="shared" si="93"/>
        <v>2.3893841873257062</v>
      </c>
      <c r="O455" s="37">
        <f t="shared" si="94"/>
        <v>1.8378378411858496</v>
      </c>
      <c r="P455" s="37">
        <f t="shared" si="95"/>
        <v>3.2787092821368802</v>
      </c>
      <c r="Q455" s="39">
        <f t="shared" si="96"/>
        <v>23.898448740335159</v>
      </c>
    </row>
    <row r="456" spans="2:17" customFormat="1" x14ac:dyDescent="0.25">
      <c r="B456" s="41" t="s">
        <v>1072</v>
      </c>
      <c r="C456" s="3" t="s">
        <v>598</v>
      </c>
      <c r="D456" s="3">
        <v>9.25</v>
      </c>
      <c r="E456" s="3">
        <v>18.235930760527069</v>
      </c>
      <c r="F456" s="3">
        <v>720</v>
      </c>
      <c r="G456" s="4">
        <v>21.25</v>
      </c>
      <c r="H456" s="7"/>
      <c r="I456" s="38">
        <f t="shared" si="89"/>
        <v>22.530449848551832</v>
      </c>
      <c r="J456" s="37">
        <f t="shared" si="90"/>
        <v>17.300000031515623</v>
      </c>
      <c r="K456" s="37">
        <f t="shared" si="91"/>
        <v>27.295974498025402</v>
      </c>
      <c r="L456" s="39">
        <f t="shared" si="92"/>
        <v>205.00334070323672</v>
      </c>
      <c r="M456" s="117"/>
      <c r="N456" s="38">
        <f t="shared" si="93"/>
        <v>2.4357243079515496</v>
      </c>
      <c r="O456" s="37">
        <f t="shared" si="94"/>
        <v>1.8702702736773646</v>
      </c>
      <c r="P456" s="37">
        <f t="shared" si="95"/>
        <v>2.9509161619486921</v>
      </c>
      <c r="Q456" s="39">
        <f t="shared" si="96"/>
        <v>22.162523319268836</v>
      </c>
    </row>
    <row r="457" spans="2:17" customFormat="1" x14ac:dyDescent="0.25">
      <c r="B457" s="41" t="s">
        <v>1072</v>
      </c>
      <c r="C457" s="3" t="s">
        <v>599</v>
      </c>
      <c r="D457" s="3">
        <v>9.25</v>
      </c>
      <c r="E457" s="3">
        <v>15.853664661174973</v>
      </c>
      <c r="F457" s="3">
        <v>700</v>
      </c>
      <c r="G457" s="4">
        <v>20.5</v>
      </c>
      <c r="H457" s="7"/>
      <c r="I457" s="38">
        <f t="shared" si="89"/>
        <v>18.787724348205021</v>
      </c>
      <c r="J457" s="37">
        <f t="shared" si="90"/>
        <v>15.040000027398548</v>
      </c>
      <c r="K457" s="37">
        <f t="shared" si="91"/>
        <v>18.529878521939459</v>
      </c>
      <c r="L457" s="39">
        <f t="shared" si="92"/>
        <v>112.21460698621119</v>
      </c>
      <c r="M457" s="117"/>
      <c r="N457" s="38">
        <f t="shared" si="93"/>
        <v>2.0311053349410835</v>
      </c>
      <c r="O457" s="37">
        <f t="shared" si="94"/>
        <v>1.6259459489079511</v>
      </c>
      <c r="P457" s="37">
        <f t="shared" si="95"/>
        <v>2.0032301104799415</v>
      </c>
      <c r="Q457" s="39">
        <f t="shared" si="96"/>
        <v>12.131308863374183</v>
      </c>
    </row>
    <row r="458" spans="2:17" customFormat="1" x14ac:dyDescent="0.25">
      <c r="B458" s="41" t="s">
        <v>1072</v>
      </c>
      <c r="C458" s="3" t="s">
        <v>600</v>
      </c>
      <c r="D458" s="3">
        <v>8.25</v>
      </c>
      <c r="E458" s="3">
        <v>17.675971390753208</v>
      </c>
      <c r="F458" s="3">
        <v>940</v>
      </c>
      <c r="G458" s="4">
        <v>19.84</v>
      </c>
      <c r="H458" s="7"/>
      <c r="I458" s="38">
        <f t="shared" si="89"/>
        <v>19.951001914465913</v>
      </c>
      <c r="J458" s="37">
        <f t="shared" si="90"/>
        <v>15.400000073394761</v>
      </c>
      <c r="K458" s="37">
        <f t="shared" si="91"/>
        <v>27.878102741261827</v>
      </c>
      <c r="L458" s="39">
        <f t="shared" si="92"/>
        <v>179.96861189404214</v>
      </c>
      <c r="M458" s="117"/>
      <c r="N458" s="38">
        <f t="shared" si="93"/>
        <v>2.4183032623595047</v>
      </c>
      <c r="O458" s="37">
        <f t="shared" si="94"/>
        <v>1.8666666755630013</v>
      </c>
      <c r="P458" s="37">
        <f t="shared" si="95"/>
        <v>3.3791639686377972</v>
      </c>
      <c r="Q458" s="39">
        <f t="shared" si="96"/>
        <v>21.814377199277835</v>
      </c>
    </row>
    <row r="459" spans="2:17" customFormat="1" x14ac:dyDescent="0.25">
      <c r="B459" s="41" t="s">
        <v>1072</v>
      </c>
      <c r="C459" s="3" t="s">
        <v>601</v>
      </c>
      <c r="D459" s="3">
        <v>9.25</v>
      </c>
      <c r="E459" s="3">
        <v>17.455896727995849</v>
      </c>
      <c r="F459" s="3">
        <v>720</v>
      </c>
      <c r="G459" s="4">
        <v>21.83</v>
      </c>
      <c r="H459" s="7"/>
      <c r="I459" s="38">
        <f t="shared" si="89"/>
        <v>21.23491491879971</v>
      </c>
      <c r="J459" s="37">
        <f t="shared" si="90"/>
        <v>16.560000030167554</v>
      </c>
      <c r="K459" s="37">
        <f t="shared" si="91"/>
        <v>24.246577381449548</v>
      </c>
      <c r="L459" s="39">
        <f t="shared" si="92"/>
        <v>169.69583834211173</v>
      </c>
      <c r="M459" s="117"/>
      <c r="N459" s="38">
        <f t="shared" si="93"/>
        <v>2.2956664777080769</v>
      </c>
      <c r="O459" s="37">
        <f t="shared" si="94"/>
        <v>1.7902702735316276</v>
      </c>
      <c r="P459" s="37">
        <f t="shared" si="95"/>
        <v>2.6212516088053563</v>
      </c>
      <c r="Q459" s="39">
        <f t="shared" si="96"/>
        <v>18.34549603698505</v>
      </c>
    </row>
    <row r="460" spans="2:17" customFormat="1" x14ac:dyDescent="0.25">
      <c r="B460" s="41" t="s">
        <v>1072</v>
      </c>
      <c r="C460" s="3" t="s">
        <v>602</v>
      </c>
      <c r="D460" s="3">
        <v>9.25</v>
      </c>
      <c r="E460" s="3">
        <v>18.446750769319291</v>
      </c>
      <c r="F460" s="3">
        <v>700</v>
      </c>
      <c r="G460" s="4">
        <v>21.37</v>
      </c>
      <c r="H460" s="7"/>
      <c r="I460" s="38">
        <f t="shared" si="89"/>
        <v>22.875658251721678</v>
      </c>
      <c r="J460" s="37">
        <f t="shared" si="90"/>
        <v>17.500000031879967</v>
      </c>
      <c r="K460" s="37">
        <f t="shared" si="91"/>
        <v>27.472801304373245</v>
      </c>
      <c r="L460" s="39">
        <f t="shared" si="92"/>
        <v>210.34991174409745</v>
      </c>
      <c r="M460" s="117"/>
      <c r="N460" s="38">
        <f t="shared" si="93"/>
        <v>2.4730441353212624</v>
      </c>
      <c r="O460" s="37">
        <f t="shared" si="94"/>
        <v>1.8918918953383748</v>
      </c>
      <c r="P460" s="37">
        <f t="shared" si="95"/>
        <v>2.9700325734457564</v>
      </c>
      <c r="Q460" s="39">
        <f t="shared" si="96"/>
        <v>22.740530999361887</v>
      </c>
    </row>
    <row r="461" spans="2:17" customFormat="1" x14ac:dyDescent="0.25">
      <c r="B461" s="41" t="s">
        <v>1072</v>
      </c>
      <c r="C461" s="3" t="s">
        <v>603</v>
      </c>
      <c r="D461" s="3">
        <v>8.25</v>
      </c>
      <c r="E461" s="3">
        <v>16.298622970694513</v>
      </c>
      <c r="F461" s="3">
        <v>760</v>
      </c>
      <c r="G461" s="4">
        <v>18.600000000000001</v>
      </c>
      <c r="H461" s="7"/>
      <c r="I461" s="38">
        <f t="shared" si="89"/>
        <v>17.841187591241741</v>
      </c>
      <c r="J461" s="37">
        <f t="shared" si="90"/>
        <v>14.200000067675687</v>
      </c>
      <c r="K461" s="37">
        <f t="shared" si="91"/>
        <v>17.968561151900765</v>
      </c>
      <c r="L461" s="39">
        <f t="shared" si="92"/>
        <v>102.61273120127369</v>
      </c>
      <c r="M461" s="117"/>
      <c r="N461" s="38">
        <f t="shared" si="93"/>
        <v>2.1625681928777869</v>
      </c>
      <c r="O461" s="37">
        <f t="shared" si="94"/>
        <v>1.7212121294152347</v>
      </c>
      <c r="P461" s="37">
        <f t="shared" si="95"/>
        <v>2.178007412351608</v>
      </c>
      <c r="Q461" s="39">
        <f t="shared" si="96"/>
        <v>12.4379068122756</v>
      </c>
    </row>
    <row r="462" spans="2:17" customFormat="1" x14ac:dyDescent="0.25">
      <c r="B462" s="41" t="s">
        <v>1072</v>
      </c>
      <c r="C462" s="3" t="s">
        <v>604</v>
      </c>
      <c r="D462" s="3">
        <v>9.25</v>
      </c>
      <c r="E462" s="3">
        <v>17.181830716565969</v>
      </c>
      <c r="F462" s="3">
        <v>660</v>
      </c>
      <c r="G462" s="4">
        <v>21.33</v>
      </c>
      <c r="H462" s="7"/>
      <c r="I462" s="38">
        <f t="shared" si="89"/>
        <v>20.747782872587315</v>
      </c>
      <c r="J462" s="37">
        <f t="shared" si="90"/>
        <v>16.300000029693912</v>
      </c>
      <c r="K462" s="37">
        <f t="shared" si="91"/>
        <v>21.541322416282259</v>
      </c>
      <c r="L462" s="39">
        <f t="shared" si="92"/>
        <v>147.16813348272677</v>
      </c>
      <c r="M462" s="117"/>
      <c r="N462" s="38">
        <f t="shared" si="93"/>
        <v>2.2430035537932231</v>
      </c>
      <c r="O462" s="37">
        <f t="shared" si="94"/>
        <v>1.7621621653723147</v>
      </c>
      <c r="P462" s="37">
        <f t="shared" si="95"/>
        <v>2.328791612571055</v>
      </c>
      <c r="Q462" s="39">
        <f t="shared" si="96"/>
        <v>15.91006848461911</v>
      </c>
    </row>
    <row r="463" spans="2:17" customFormat="1" x14ac:dyDescent="0.25">
      <c r="B463" s="41" t="s">
        <v>1072</v>
      </c>
      <c r="C463" s="3" t="s">
        <v>605</v>
      </c>
      <c r="D463" s="3">
        <v>9.25</v>
      </c>
      <c r="E463" s="3">
        <v>18.341340764923174</v>
      </c>
      <c r="F463" s="3">
        <v>660</v>
      </c>
      <c r="G463" s="4">
        <v>19.62</v>
      </c>
      <c r="H463" s="7"/>
      <c r="I463" s="38">
        <f t="shared" si="89"/>
        <v>22.657038491557696</v>
      </c>
      <c r="J463" s="37">
        <f t="shared" si="90"/>
        <v>17.40000003169779</v>
      </c>
      <c r="K463" s="37">
        <f t="shared" si="91"/>
        <v>25.689127666661815</v>
      </c>
      <c r="L463" s="39">
        <f t="shared" si="92"/>
        <v>194.91222573554791</v>
      </c>
      <c r="M463" s="117"/>
      <c r="N463" s="38">
        <f t="shared" si="93"/>
        <v>2.4494095666548859</v>
      </c>
      <c r="O463" s="37">
        <f t="shared" si="94"/>
        <v>1.8810810845078692</v>
      </c>
      <c r="P463" s="37">
        <f t="shared" si="95"/>
        <v>2.7772029909904665</v>
      </c>
      <c r="Q463" s="39">
        <f t="shared" si="96"/>
        <v>21.071591971410584</v>
      </c>
    </row>
    <row r="464" spans="2:17" customFormat="1" x14ac:dyDescent="0.25">
      <c r="B464" s="41" t="s">
        <v>1073</v>
      </c>
      <c r="C464" s="3" t="s">
        <v>606</v>
      </c>
      <c r="D464" s="3">
        <v>9.3333333333333339</v>
      </c>
      <c r="E464" s="3">
        <v>8.5735909362428746</v>
      </c>
      <c r="F464" s="3">
        <v>1200</v>
      </c>
      <c r="G464" s="4">
        <v>13.08</v>
      </c>
      <c r="H464" s="7"/>
      <c r="I464" s="38">
        <f>EXP(1.842624 -7.912709/D464+ 0.204784*E464-0.000193*F464)</f>
        <v>12.415776921828646</v>
      </c>
      <c r="J464" s="37">
        <f>EXP(LN(E464) -6.921948 * (1/D464- 0.1))</f>
        <v>8.1600000208510473</v>
      </c>
      <c r="K464" s="37">
        <f>EXP(0.592964 -16.050104/D464+ 0.399771*E464 + 0.000318*F464)</f>
        <v>14.619891342387126</v>
      </c>
      <c r="L464" s="39">
        <f>EXP(1.57958 -21.303008/D464+ 0.507162*E464+ 0.000117*F464)</f>
        <v>44.067140156738816</v>
      </c>
      <c r="M464" s="117"/>
      <c r="N464" s="38">
        <f t="shared" si="93"/>
        <v>1.3302618130530692</v>
      </c>
      <c r="O464" s="37">
        <f t="shared" si="94"/>
        <v>0.87428571651975506</v>
      </c>
      <c r="P464" s="37">
        <f t="shared" si="95"/>
        <v>1.5664169295414776</v>
      </c>
      <c r="Q464" s="39">
        <f t="shared" si="96"/>
        <v>4.7214793025077304</v>
      </c>
    </row>
    <row r="465" spans="2:17" customFormat="1" x14ac:dyDescent="0.25">
      <c r="B465" s="41" t="s">
        <v>1074</v>
      </c>
      <c r="C465" s="3" t="s">
        <v>607</v>
      </c>
      <c r="D465" s="3">
        <v>14.583333333333334</v>
      </c>
      <c r="E465" s="3">
        <v>13.307642283238955</v>
      </c>
      <c r="F465" s="3">
        <v>280</v>
      </c>
      <c r="G465" s="4">
        <v>30.87</v>
      </c>
      <c r="H465" s="7"/>
      <c r="I465" s="38">
        <f t="shared" ref="I465:I477" si="97">EXP(3.298035 -10.936875/D465 + 0.065073*E465 -0.000083*F465)</f>
        <v>29.689874550051002</v>
      </c>
      <c r="J465" s="37">
        <f t="shared" ref="J465:J477" si="98">EXP(LN(E465) -11.729867 * (1/D465- 0.1))</f>
        <v>19.239999915070612</v>
      </c>
      <c r="K465" s="37">
        <f t="shared" ref="K465:K477" si="99">EXP(2.367995 -21.373573/D465+ 0.153433*E465+ 0.001055*F465)</f>
        <v>25.523766664548109</v>
      </c>
      <c r="L465" s="39">
        <f t="shared" ref="L465:L477" si="100">EXP(4.039077 -32.749693/D465+ 0.242141*E465+ 0.000967*F465)</f>
        <v>197.64442359685572</v>
      </c>
      <c r="M465" s="117"/>
      <c r="N465" s="38">
        <f t="shared" si="93"/>
        <v>2.0358771120034973</v>
      </c>
      <c r="O465" s="37">
        <f t="shared" si="94"/>
        <v>1.3193142798905562</v>
      </c>
      <c r="P465" s="37">
        <f t="shared" si="95"/>
        <v>1.7502011427118702</v>
      </c>
      <c r="Q465" s="39">
        <f t="shared" si="96"/>
        <v>13.552760475212963</v>
      </c>
    </row>
    <row r="466" spans="2:17" customFormat="1" x14ac:dyDescent="0.25">
      <c r="B466" s="41" t="s">
        <v>1074</v>
      </c>
      <c r="C466" s="3" t="s">
        <v>608</v>
      </c>
      <c r="D466" s="3">
        <v>9.5</v>
      </c>
      <c r="E466" s="3">
        <v>10.870826439328114</v>
      </c>
      <c r="F466" s="3">
        <v>880</v>
      </c>
      <c r="G466" s="4">
        <v>16.170000000000002</v>
      </c>
      <c r="H466" s="7"/>
      <c r="I466" s="38">
        <f t="shared" si="97"/>
        <v>16.137444046763328</v>
      </c>
      <c r="J466" s="37">
        <f t="shared" si="98"/>
        <v>10.220000007554845</v>
      </c>
      <c r="K466" s="37">
        <f t="shared" si="99"/>
        <v>15.096889414972823</v>
      </c>
      <c r="L466" s="39">
        <f t="shared" si="100"/>
        <v>58.848931639494602</v>
      </c>
      <c r="M466" s="117"/>
      <c r="N466" s="38">
        <f t="shared" si="93"/>
        <v>1.6986783207119291</v>
      </c>
      <c r="O466" s="37">
        <f t="shared" si="94"/>
        <v>1.0757894744794574</v>
      </c>
      <c r="P466" s="37">
        <f t="shared" si="95"/>
        <v>1.5891462542076655</v>
      </c>
      <c r="Q466" s="39">
        <f t="shared" si="96"/>
        <v>6.1946243831046948</v>
      </c>
    </row>
    <row r="467" spans="2:17" customFormat="1" x14ac:dyDescent="0.25">
      <c r="B467" s="41" t="s">
        <v>1074</v>
      </c>
      <c r="C467" s="3" t="s">
        <v>609</v>
      </c>
      <c r="D467" s="3">
        <v>6.5</v>
      </c>
      <c r="E467" s="3">
        <v>10.004965642464635</v>
      </c>
      <c r="F467" s="3">
        <v>1960</v>
      </c>
      <c r="G467" s="4">
        <v>7.72</v>
      </c>
      <c r="H467" s="7"/>
      <c r="I467" s="38">
        <f t="shared" si="97"/>
        <v>8.1973585588441722</v>
      </c>
      <c r="J467" s="37">
        <f t="shared" si="98"/>
        <v>5.3200000402341283</v>
      </c>
      <c r="K467" s="37">
        <f t="shared" si="99"/>
        <v>14.623720372906272</v>
      </c>
      <c r="L467" s="39">
        <f t="shared" si="100"/>
        <v>27.621517207125525</v>
      </c>
      <c r="M467" s="117"/>
      <c r="N467" s="38">
        <f t="shared" si="93"/>
        <v>1.2611320859760264</v>
      </c>
      <c r="O467" s="37">
        <f t="shared" si="94"/>
        <v>0.8184615446514043</v>
      </c>
      <c r="P467" s="37">
        <f t="shared" si="95"/>
        <v>2.2498031342932725</v>
      </c>
      <c r="Q467" s="39">
        <f t="shared" si="96"/>
        <v>4.2494641857116191</v>
      </c>
    </row>
    <row r="468" spans="2:17" customFormat="1" x14ac:dyDescent="0.25">
      <c r="B468" s="41" t="s">
        <v>1074</v>
      </c>
      <c r="C468" s="3" t="s">
        <v>610</v>
      </c>
      <c r="D468" s="3">
        <v>13.333333333333334</v>
      </c>
      <c r="E468" s="3">
        <v>13.723421698023007</v>
      </c>
      <c r="F468" s="3">
        <v>320</v>
      </c>
      <c r="G468" s="4">
        <v>32.57</v>
      </c>
      <c r="H468" s="7"/>
      <c r="I468" s="38">
        <f t="shared" si="97"/>
        <v>28.338848311107238</v>
      </c>
      <c r="J468" s="37">
        <f t="shared" si="98"/>
        <v>18.399999935392028</v>
      </c>
      <c r="K468" s="37">
        <f t="shared" si="99"/>
        <v>24.734592907623369</v>
      </c>
      <c r="L468" s="39">
        <f t="shared" si="100"/>
        <v>184.06575876983629</v>
      </c>
      <c r="M468" s="117"/>
      <c r="N468" s="38">
        <f t="shared" si="93"/>
        <v>2.125413623333043</v>
      </c>
      <c r="O468" s="37">
        <f t="shared" si="94"/>
        <v>1.379999995154402</v>
      </c>
      <c r="P468" s="37">
        <f t="shared" si="95"/>
        <v>1.8550944680717527</v>
      </c>
      <c r="Q468" s="39">
        <f t="shared" si="96"/>
        <v>13.804931907737721</v>
      </c>
    </row>
    <row r="469" spans="2:17" customFormat="1" x14ac:dyDescent="0.25">
      <c r="B469" s="41" t="s">
        <v>1074</v>
      </c>
      <c r="C469" s="3" t="s">
        <v>611</v>
      </c>
      <c r="D469" s="3">
        <v>13.333333333333334</v>
      </c>
      <c r="E469" s="3">
        <v>13.798005511599216</v>
      </c>
      <c r="F469" s="3">
        <v>560</v>
      </c>
      <c r="G469" s="4">
        <v>27.64</v>
      </c>
      <c r="H469" s="7"/>
      <c r="I469" s="38">
        <f t="shared" si="97"/>
        <v>27.915078410385362</v>
      </c>
      <c r="J469" s="37">
        <f t="shared" si="98"/>
        <v>18.499999935040893</v>
      </c>
      <c r="K469" s="37">
        <f t="shared" si="99"/>
        <v>32.228346928109545</v>
      </c>
      <c r="L469" s="39">
        <f t="shared" si="100"/>
        <v>236.37815577044643</v>
      </c>
      <c r="M469" s="117"/>
      <c r="N469" s="38">
        <f t="shared" si="93"/>
        <v>2.0936308807789019</v>
      </c>
      <c r="O469" s="37">
        <f t="shared" si="94"/>
        <v>1.3874999951280669</v>
      </c>
      <c r="P469" s="37">
        <f t="shared" si="95"/>
        <v>2.4171260196082156</v>
      </c>
      <c r="Q469" s="39">
        <f t="shared" si="96"/>
        <v>17.728361682783483</v>
      </c>
    </row>
    <row r="470" spans="2:17" customFormat="1" x14ac:dyDescent="0.25">
      <c r="B470" s="41" t="s">
        <v>1074</v>
      </c>
      <c r="C470" s="3" t="s">
        <v>612</v>
      </c>
      <c r="D470" s="3">
        <v>13.333333333333334</v>
      </c>
      <c r="E470" s="3">
        <v>12.530080680803616</v>
      </c>
      <c r="F470" s="3">
        <v>420</v>
      </c>
      <c r="G470" s="4">
        <v>29.49</v>
      </c>
      <c r="H470" s="7"/>
      <c r="I470" s="38">
        <f t="shared" si="97"/>
        <v>26.004752639455393</v>
      </c>
      <c r="J470" s="37">
        <f t="shared" si="98"/>
        <v>16.799999941010114</v>
      </c>
      <c r="K470" s="37">
        <f t="shared" si="99"/>
        <v>22.887820063260545</v>
      </c>
      <c r="L470" s="39">
        <f t="shared" si="100"/>
        <v>151.87173123496694</v>
      </c>
      <c r="M470" s="117"/>
      <c r="N470" s="38">
        <f t="shared" si="93"/>
        <v>1.9503564479591544</v>
      </c>
      <c r="O470" s="37">
        <f t="shared" si="94"/>
        <v>1.2599999955757586</v>
      </c>
      <c r="P470" s="37">
        <f t="shared" si="95"/>
        <v>1.7165865047445408</v>
      </c>
      <c r="Q470" s="39">
        <f t="shared" si="96"/>
        <v>11.39037984262252</v>
      </c>
    </row>
    <row r="471" spans="2:17" customFormat="1" x14ac:dyDescent="0.25">
      <c r="B471" s="41" t="s">
        <v>1074</v>
      </c>
      <c r="C471" s="3" t="s">
        <v>613</v>
      </c>
      <c r="D471" s="3">
        <v>14.25</v>
      </c>
      <c r="E471" s="3">
        <v>12.615958624641287</v>
      </c>
      <c r="F471" s="3">
        <v>200</v>
      </c>
      <c r="G471" s="4">
        <v>29.32</v>
      </c>
      <c r="H471" s="7"/>
      <c r="I471" s="38">
        <f t="shared" si="97"/>
        <v>28.075386734575105</v>
      </c>
      <c r="J471" s="37">
        <f t="shared" si="98"/>
        <v>17.899999925018282</v>
      </c>
      <c r="K471" s="37">
        <f t="shared" si="99"/>
        <v>20.385003745422974</v>
      </c>
      <c r="L471" s="39">
        <f t="shared" si="100"/>
        <v>146.80332520055612</v>
      </c>
      <c r="M471" s="117"/>
      <c r="N471" s="38">
        <f t="shared" si="93"/>
        <v>1.9702025778649197</v>
      </c>
      <c r="O471" s="37">
        <f t="shared" si="94"/>
        <v>1.256140345615318</v>
      </c>
      <c r="P471" s="37">
        <f t="shared" si="95"/>
        <v>1.4305265786261736</v>
      </c>
      <c r="Q471" s="39">
        <f t="shared" si="96"/>
        <v>10.301987733372359</v>
      </c>
    </row>
    <row r="472" spans="2:17" customFormat="1" x14ac:dyDescent="0.25">
      <c r="B472" s="41" t="s">
        <v>1074</v>
      </c>
      <c r="C472" s="3" t="s">
        <v>614</v>
      </c>
      <c r="D472" s="3">
        <v>13.25</v>
      </c>
      <c r="E472" s="3">
        <v>13.574570359933329</v>
      </c>
      <c r="F472" s="3">
        <v>360</v>
      </c>
      <c r="G472" s="4">
        <v>25.56</v>
      </c>
      <c r="H472" s="7"/>
      <c r="I472" s="38">
        <f t="shared" si="97"/>
        <v>27.828717433695378</v>
      </c>
      <c r="J472" s="37">
        <f t="shared" si="98"/>
        <v>18.099999937644558</v>
      </c>
      <c r="K472" s="37">
        <f t="shared" si="99"/>
        <v>24.965183768702296</v>
      </c>
      <c r="L472" s="39">
        <f t="shared" si="100"/>
        <v>181.7227362217414</v>
      </c>
      <c r="M472" s="117"/>
      <c r="N472" s="38">
        <f t="shared" si="93"/>
        <v>2.1002805610336135</v>
      </c>
      <c r="O472" s="37">
        <f t="shared" si="94"/>
        <v>1.3660377311429854</v>
      </c>
      <c r="P472" s="37">
        <f t="shared" si="95"/>
        <v>1.8841648127322488</v>
      </c>
      <c r="Q472" s="39">
        <f t="shared" si="96"/>
        <v>13.714923488433314</v>
      </c>
    </row>
    <row r="473" spans="2:17" customFormat="1" x14ac:dyDescent="0.25">
      <c r="B473" s="41" t="s">
        <v>1074</v>
      </c>
      <c r="C473" s="3" t="s">
        <v>615</v>
      </c>
      <c r="D473" s="3">
        <v>14.333333333333334</v>
      </c>
      <c r="E473" s="3">
        <v>13.116875844703875</v>
      </c>
      <c r="F473" s="3">
        <v>400</v>
      </c>
      <c r="G473" s="4">
        <v>29.47</v>
      </c>
      <c r="H473" s="7"/>
      <c r="I473" s="38">
        <f t="shared" si="97"/>
        <v>28.655679794669904</v>
      </c>
      <c r="J473" s="37">
        <f t="shared" si="98"/>
        <v>18.699999920595566</v>
      </c>
      <c r="K473" s="37">
        <f t="shared" si="99"/>
        <v>27.422863502706893</v>
      </c>
      <c r="L473" s="39">
        <f t="shared" si="100"/>
        <v>203.80183640895399</v>
      </c>
      <c r="M473" s="117"/>
      <c r="N473" s="38">
        <f t="shared" si="93"/>
        <v>1.9992334740467375</v>
      </c>
      <c r="O473" s="37">
        <f t="shared" si="94"/>
        <v>1.3046511572508535</v>
      </c>
      <c r="P473" s="37">
        <f t="shared" si="95"/>
        <v>1.9132230350725739</v>
      </c>
      <c r="Q473" s="39">
        <f t="shared" si="96"/>
        <v>14.21873277271772</v>
      </c>
    </row>
    <row r="474" spans="2:17" customFormat="1" x14ac:dyDescent="0.25">
      <c r="B474" s="41" t="s">
        <v>1074</v>
      </c>
      <c r="C474" s="3" t="s">
        <v>616</v>
      </c>
      <c r="D474" s="3">
        <v>12.25</v>
      </c>
      <c r="E474" s="3">
        <v>12.979520026647029</v>
      </c>
      <c r="F474" s="3">
        <v>300</v>
      </c>
      <c r="G474" s="4">
        <v>26.04</v>
      </c>
      <c r="H474" s="7"/>
      <c r="I474" s="38">
        <f t="shared" si="97"/>
        <v>25.152195381450248</v>
      </c>
      <c r="J474" s="37">
        <f t="shared" si="98"/>
        <v>16.099999958466299</v>
      </c>
      <c r="K474" s="37">
        <f t="shared" si="99"/>
        <v>18.750121396224721</v>
      </c>
      <c r="L474" s="39">
        <f t="shared" si="100"/>
        <v>121.34122672054475</v>
      </c>
      <c r="M474" s="117"/>
      <c r="N474" s="38">
        <f t="shared" si="93"/>
        <v>2.0532404393020611</v>
      </c>
      <c r="O474" s="37">
        <f t="shared" si="94"/>
        <v>1.314285710895208</v>
      </c>
      <c r="P474" s="37">
        <f t="shared" si="95"/>
        <v>1.5306221547938548</v>
      </c>
      <c r="Q474" s="39">
        <f t="shared" si="96"/>
        <v>9.9054062629016126</v>
      </c>
    </row>
    <row r="475" spans="2:17" customFormat="1" x14ac:dyDescent="0.25">
      <c r="B475" s="41" t="s">
        <v>1074</v>
      </c>
      <c r="C475" s="3" t="s">
        <v>617</v>
      </c>
      <c r="D475" s="3">
        <v>12.333333333333334</v>
      </c>
      <c r="E475" s="3">
        <v>12.895815341773105</v>
      </c>
      <c r="F475" s="3">
        <v>340</v>
      </c>
      <c r="G475" s="4">
        <v>26.58</v>
      </c>
      <c r="H475" s="7"/>
      <c r="I475" s="38">
        <f t="shared" si="97"/>
        <v>25.083512131122973</v>
      </c>
      <c r="J475" s="37">
        <f t="shared" si="98"/>
        <v>16.099999957219048</v>
      </c>
      <c r="K475" s="37">
        <f t="shared" si="99"/>
        <v>19.537705812650643</v>
      </c>
      <c r="L475" s="39">
        <f t="shared" si="100"/>
        <v>125.84891613128849</v>
      </c>
      <c r="M475" s="117"/>
      <c r="N475" s="38">
        <f t="shared" si="93"/>
        <v>2.0337982809018627</v>
      </c>
      <c r="O475" s="37">
        <f t="shared" si="94"/>
        <v>1.3054054019366794</v>
      </c>
      <c r="P475" s="37">
        <f t="shared" si="95"/>
        <v>1.5841383091338359</v>
      </c>
      <c r="Q475" s="39">
        <f t="shared" si="96"/>
        <v>10.203966172807174</v>
      </c>
    </row>
    <row r="476" spans="2:17" customFormat="1" x14ac:dyDescent="0.25">
      <c r="B476" s="41" t="s">
        <v>1074</v>
      </c>
      <c r="C476" s="3" t="s">
        <v>618</v>
      </c>
      <c r="D476" s="3">
        <v>14.416666666666666</v>
      </c>
      <c r="E476" s="3">
        <v>12.566285159403689</v>
      </c>
      <c r="F476" s="3">
        <v>260</v>
      </c>
      <c r="G476" s="4">
        <v>29.39</v>
      </c>
      <c r="H476" s="7"/>
      <c r="I476" s="38">
        <f t="shared" si="97"/>
        <v>28.093934713527744</v>
      </c>
      <c r="J476" s="37">
        <f t="shared" si="98"/>
        <v>17.999999922548369</v>
      </c>
      <c r="K476" s="37">
        <f t="shared" si="99"/>
        <v>21.929173069378709</v>
      </c>
      <c r="L476" s="39">
        <f t="shared" si="100"/>
        <v>157.85152073403913</v>
      </c>
      <c r="M476" s="117"/>
      <c r="N476" s="38">
        <f t="shared" si="93"/>
        <v>1.9487122344643524</v>
      </c>
      <c r="O476" s="37">
        <f t="shared" si="94"/>
        <v>1.2485549079224303</v>
      </c>
      <c r="P476" s="37">
        <f t="shared" si="95"/>
        <v>1.5210987100147082</v>
      </c>
      <c r="Q476" s="39">
        <f t="shared" si="96"/>
        <v>10.9492384324189</v>
      </c>
    </row>
    <row r="477" spans="2:17" customFormat="1" ht="15.75" thickBot="1" x14ac:dyDescent="0.3">
      <c r="B477" s="46" t="s">
        <v>1074</v>
      </c>
      <c r="C477" s="28" t="s">
        <v>619</v>
      </c>
      <c r="D477" s="28">
        <v>13.416666666666666</v>
      </c>
      <c r="E477" s="28">
        <v>10.132630429295823</v>
      </c>
      <c r="F477" s="28">
        <v>1000</v>
      </c>
      <c r="G477" s="29">
        <v>20</v>
      </c>
      <c r="H477" s="7"/>
      <c r="I477" s="121">
        <f t="shared" si="97"/>
        <v>21.311031564533167</v>
      </c>
      <c r="J477" s="26">
        <f t="shared" si="98"/>
        <v>13.659999951141858</v>
      </c>
      <c r="K477" s="26">
        <f t="shared" si="99"/>
        <v>29.50658748647383</v>
      </c>
      <c r="L477" s="122">
        <f t="shared" si="100"/>
        <v>151.20421766222498</v>
      </c>
      <c r="M477" s="117"/>
      <c r="N477" s="121">
        <f t="shared" si="93"/>
        <v>1.5883998681639628</v>
      </c>
      <c r="O477" s="26">
        <f t="shared" si="94"/>
        <v>1.0181366423211322</v>
      </c>
      <c r="P477" s="26">
        <f t="shared" si="95"/>
        <v>2.1992487567558134</v>
      </c>
      <c r="Q477" s="122">
        <f t="shared" si="96"/>
        <v>11.269879577308695</v>
      </c>
    </row>
    <row r="480" spans="2:17" customFormat="1" ht="15.75" thickBot="1" x14ac:dyDescent="0.3">
      <c r="B480" s="137" t="s">
        <v>1242</v>
      </c>
      <c r="C480" s="137"/>
      <c r="M480" s="7"/>
      <c r="N480" s="7"/>
      <c r="O480" s="7"/>
      <c r="P480" s="7"/>
    </row>
    <row r="481" spans="2:5" customFormat="1" ht="19.5" thickBot="1" x14ac:dyDescent="0.35">
      <c r="B481" s="105" t="s">
        <v>1243</v>
      </c>
      <c r="C481" s="106" t="s">
        <v>1244</v>
      </c>
      <c r="D481" s="106" t="s">
        <v>1245</v>
      </c>
      <c r="E481" s="107" t="s">
        <v>1246</v>
      </c>
    </row>
    <row r="482" spans="2:5" customFormat="1" ht="63" customHeight="1" thickBot="1" x14ac:dyDescent="0.3">
      <c r="B482" s="108" t="s">
        <v>1312</v>
      </c>
      <c r="C482" s="109" t="s">
        <v>1311</v>
      </c>
      <c r="D482" s="109" t="s">
        <v>1313</v>
      </c>
      <c r="E482" s="110" t="s">
        <v>1314</v>
      </c>
    </row>
    <row r="483" spans="2:5" customFormat="1" x14ac:dyDescent="0.25">
      <c r="B483" s="7"/>
      <c r="C483" s="7"/>
    </row>
    <row r="484" spans="2:5" customFormat="1" x14ac:dyDescent="0.25">
      <c r="B484" s="7"/>
      <c r="C484" s="7"/>
    </row>
    <row r="485" spans="2:5" customFormat="1" x14ac:dyDescent="0.25">
      <c r="B485" s="7"/>
      <c r="C485" s="7"/>
    </row>
  </sheetData>
  <mergeCells count="9">
    <mergeCell ref="AB4:AE4"/>
    <mergeCell ref="I4:L4"/>
    <mergeCell ref="N4:Q4"/>
    <mergeCell ref="S4:W4"/>
    <mergeCell ref="B480:C480"/>
    <mergeCell ref="B4:B5"/>
    <mergeCell ref="D2:N2"/>
    <mergeCell ref="C4:C5"/>
    <mergeCell ref="X4:AA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W561"/>
  <sheetViews>
    <sheetView tabSelected="1" zoomScale="90" zoomScaleNormal="90" workbookViewId="0">
      <pane xSplit="3" topLeftCell="D1" activePane="topRight" state="frozen"/>
      <selection activeCell="B5" sqref="B5:V8"/>
      <selection pane="topRight" sqref="A1:XFD1048576"/>
    </sheetView>
  </sheetViews>
  <sheetFormatPr baseColWidth="10" defaultRowHeight="15" x14ac:dyDescent="0.25"/>
  <cols>
    <col min="1" max="1" width="11.42578125" style="7"/>
    <col min="2" max="2" width="15.7109375" style="7" customWidth="1"/>
    <col min="7" max="7" width="12.28515625" customWidth="1"/>
    <col min="11" max="11" width="12.5703125" customWidth="1"/>
    <col min="13" max="13" width="13.140625" customWidth="1"/>
    <col min="15" max="18" width="11.42578125" style="7"/>
    <col min="20" max="20" width="31" customWidth="1"/>
    <col min="21" max="21" width="11.85546875" bestFit="1" customWidth="1"/>
    <col min="22" max="22" width="13" customWidth="1"/>
  </cols>
  <sheetData>
    <row r="1" spans="2:101" s="7" customFormat="1" x14ac:dyDescent="0.25"/>
    <row r="2" spans="2:101" s="7" customFormat="1" ht="21" x14ac:dyDescent="0.35">
      <c r="H2" s="145" t="s">
        <v>1232</v>
      </c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</row>
    <row r="3" spans="2:101" s="7" customFormat="1" ht="19.5" thickBot="1" x14ac:dyDescent="0.35">
      <c r="E3" s="33" t="s">
        <v>1179</v>
      </c>
    </row>
    <row r="4" spans="2:101" customFormat="1" ht="33.75" customHeight="1" thickBot="1" x14ac:dyDescent="0.35">
      <c r="B4" s="138" t="s">
        <v>1056</v>
      </c>
      <c r="C4" s="138" t="s">
        <v>1023</v>
      </c>
      <c r="D4" s="34" t="s">
        <v>1022</v>
      </c>
      <c r="E4" s="34" t="s">
        <v>1024</v>
      </c>
      <c r="F4" s="34" t="s">
        <v>1025</v>
      </c>
      <c r="G4" s="34" t="s">
        <v>1026</v>
      </c>
      <c r="J4" s="146" t="s">
        <v>1228</v>
      </c>
      <c r="K4" s="146"/>
      <c r="L4" s="146"/>
      <c r="M4" s="146"/>
      <c r="O4" s="146" t="s">
        <v>1229</v>
      </c>
      <c r="P4" s="146"/>
      <c r="Q4" s="146"/>
      <c r="R4" s="146"/>
      <c r="S4" s="7"/>
      <c r="T4" s="146" t="s">
        <v>1231</v>
      </c>
      <c r="U4" s="146"/>
      <c r="V4" s="146"/>
      <c r="W4" s="146"/>
      <c r="X4" s="146"/>
    </row>
    <row r="5" spans="2:101" customFormat="1" ht="43.5" customHeight="1" thickBot="1" x14ac:dyDescent="0.3">
      <c r="B5" s="139"/>
      <c r="C5" s="139"/>
      <c r="D5" s="34" t="s">
        <v>0</v>
      </c>
      <c r="E5" s="34" t="s">
        <v>1</v>
      </c>
      <c r="F5" s="34" t="s">
        <v>2</v>
      </c>
      <c r="G5" s="34" t="s">
        <v>3</v>
      </c>
      <c r="H5" s="7"/>
      <c r="I5" s="7"/>
      <c r="J5" s="34" t="s">
        <v>1029</v>
      </c>
      <c r="K5" s="34" t="s">
        <v>1027</v>
      </c>
      <c r="L5" s="34" t="s">
        <v>1030</v>
      </c>
      <c r="M5" s="34" t="s">
        <v>1031</v>
      </c>
      <c r="N5" s="7"/>
      <c r="O5" s="34" t="s">
        <v>1175</v>
      </c>
      <c r="P5" s="34" t="s">
        <v>1176</v>
      </c>
      <c r="Q5" s="34" t="s">
        <v>1177</v>
      </c>
      <c r="R5" s="34" t="s">
        <v>1178</v>
      </c>
      <c r="S5" s="7"/>
      <c r="T5" s="34"/>
      <c r="U5" s="34" t="s">
        <v>1032</v>
      </c>
      <c r="V5" s="34" t="s">
        <v>1027</v>
      </c>
      <c r="W5" s="34" t="s">
        <v>1033</v>
      </c>
      <c r="X5" s="34" t="s">
        <v>1028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</row>
    <row r="6" spans="2:101" s="6" customFormat="1" x14ac:dyDescent="0.25">
      <c r="B6" s="16" t="s">
        <v>1058</v>
      </c>
      <c r="C6" s="17" t="s">
        <v>7</v>
      </c>
      <c r="D6" s="17">
        <v>9.9166666666666661</v>
      </c>
      <c r="E6" s="17">
        <v>19.810474638724248</v>
      </c>
      <c r="F6" s="17">
        <v>714</v>
      </c>
      <c r="G6" s="18">
        <v>16.2</v>
      </c>
      <c r="H6" s="7"/>
      <c r="I6" s="7"/>
      <c r="J6" s="114">
        <f t="shared" ref="J6:J49" si="0">EXP(2.805506 -2.624873/D6 + 0.029507*E6 -0.000251*F6)</f>
        <v>19.032472504459005</v>
      </c>
      <c r="K6" s="115">
        <f t="shared" ref="K6:K49" si="1">EXP(LN(E6) -3.638221 * (1/D6- 0.1))</f>
        <v>19.750000001122409</v>
      </c>
      <c r="L6" s="115">
        <f t="shared" ref="L6:L49" si="2">EXP(1.649195 -5.046975/D6 + 0.054066*E6 + 0.001012*F6)</f>
        <v>18.80076323005267</v>
      </c>
      <c r="M6" s="116">
        <f t="shared" ref="M6:M49" si="3">EXP(3.117363 -8.840466/D6 + 0.107077*E6 + 0.000951*F6)</f>
        <v>152.34499148981081</v>
      </c>
      <c r="N6" s="117"/>
      <c r="O6" s="114">
        <f t="shared" ref="O6:O69" si="4">J6/D6</f>
        <v>1.9192409248193956</v>
      </c>
      <c r="P6" s="115">
        <f t="shared" ref="P6:P69" si="5">K6/D6</f>
        <v>1.9915966387686463</v>
      </c>
      <c r="Q6" s="115">
        <f t="shared" ref="Q6:Q69" si="6">L6/D6</f>
        <v>1.8958752837027903</v>
      </c>
      <c r="R6" s="116">
        <f t="shared" ref="R6:R69" si="7">M6/D6</f>
        <v>15.362520150233024</v>
      </c>
      <c r="S6" s="7"/>
      <c r="T6" s="10" t="s">
        <v>1045</v>
      </c>
      <c r="U6" s="13">
        <f>AVERAGE(O6:O556)</f>
        <v>1.7241145125321085</v>
      </c>
      <c r="V6" s="13">
        <f t="shared" ref="V6:X6" si="8">AVERAGE(P7:P556)</f>
        <v>1.8583920785166437</v>
      </c>
      <c r="W6" s="13">
        <f t="shared" si="8"/>
        <v>1.1320296556904264</v>
      </c>
      <c r="X6" s="13">
        <f t="shared" si="8"/>
        <v>6.433009507920378</v>
      </c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</row>
    <row r="7" spans="2:101" s="6" customFormat="1" x14ac:dyDescent="0.25">
      <c r="B7" s="19" t="s">
        <v>1058</v>
      </c>
      <c r="C7" s="15" t="s">
        <v>8</v>
      </c>
      <c r="D7" s="15">
        <v>9.9166666666666661</v>
      </c>
      <c r="E7" s="15">
        <v>21.044240907363786</v>
      </c>
      <c r="F7" s="15">
        <v>780</v>
      </c>
      <c r="G7" s="32">
        <v>14.3</v>
      </c>
      <c r="H7" s="7"/>
      <c r="I7" s="7"/>
      <c r="J7" s="118">
        <f t="shared" si="0"/>
        <v>19.413823052549805</v>
      </c>
      <c r="K7" s="119">
        <f t="shared" si="1"/>
        <v>20.980000001192316</v>
      </c>
      <c r="L7" s="119">
        <f t="shared" si="2"/>
        <v>21.485843436192145</v>
      </c>
      <c r="M7" s="120">
        <f t="shared" si="3"/>
        <v>185.1232131866808</v>
      </c>
      <c r="N7" s="117"/>
      <c r="O7" s="118">
        <f t="shared" si="4"/>
        <v>1.95769644227393</v>
      </c>
      <c r="P7" s="119">
        <f t="shared" si="5"/>
        <v>2.1156302522210741</v>
      </c>
      <c r="Q7" s="119">
        <f t="shared" si="6"/>
        <v>2.1666396742378633</v>
      </c>
      <c r="R7" s="120">
        <f t="shared" si="7"/>
        <v>18.667887044035041</v>
      </c>
      <c r="S7" s="7"/>
      <c r="T7" s="11" t="s">
        <v>1046</v>
      </c>
      <c r="U7" s="14">
        <f>MEDIAN(O6:O556)</f>
        <v>1.6678172733034458</v>
      </c>
      <c r="V7" s="14">
        <f t="shared" ref="V7:X7" si="9">MEDIAN(P6:P556)</f>
        <v>1.8320610676619082</v>
      </c>
      <c r="W7" s="14">
        <f t="shared" si="9"/>
        <v>0.93006898469228161</v>
      </c>
      <c r="X7" s="14">
        <f t="shared" si="9"/>
        <v>3.3564899820836369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</row>
    <row r="8" spans="2:101" s="6" customFormat="1" x14ac:dyDescent="0.25">
      <c r="B8" s="19" t="s">
        <v>1058</v>
      </c>
      <c r="C8" s="15" t="s">
        <v>9</v>
      </c>
      <c r="D8" s="15">
        <v>10.5</v>
      </c>
      <c r="E8" s="15">
        <v>17.101143694539616</v>
      </c>
      <c r="F8" s="15">
        <v>1020</v>
      </c>
      <c r="G8" s="32">
        <v>15.29</v>
      </c>
      <c r="H8" s="7"/>
      <c r="I8" s="7"/>
      <c r="J8" s="118">
        <f t="shared" si="0"/>
        <v>16.512233694895365</v>
      </c>
      <c r="K8" s="119">
        <f t="shared" si="1"/>
        <v>17.399999994396474</v>
      </c>
      <c r="L8" s="119">
        <f t="shared" si="2"/>
        <v>22.768116297583425</v>
      </c>
      <c r="M8" s="120">
        <f t="shared" si="3"/>
        <v>160.22402954138957</v>
      </c>
      <c r="N8" s="117"/>
      <c r="O8" s="118">
        <f t="shared" si="4"/>
        <v>1.5725936852281299</v>
      </c>
      <c r="P8" s="119">
        <f t="shared" si="5"/>
        <v>1.6571428566091879</v>
      </c>
      <c r="Q8" s="119">
        <f t="shared" si="6"/>
        <v>2.1683920283412785</v>
      </c>
      <c r="R8" s="120">
        <f t="shared" si="7"/>
        <v>15.259431384894246</v>
      </c>
      <c r="S8" s="7"/>
      <c r="T8" s="11" t="s">
        <v>1050</v>
      </c>
      <c r="U8" s="14" t="e">
        <f>_xlfn.MODE.MULT(O6:O556)</f>
        <v>#N/A</v>
      </c>
      <c r="V8" s="14">
        <f t="shared" ref="V8:X8" si="10">_xlfn.MODE.MULT(P6:P556)</f>
        <v>3.0000000117460481</v>
      </c>
      <c r="W8" s="14" t="e">
        <f t="shared" si="10"/>
        <v>#N/A</v>
      </c>
      <c r="X8" s="14" t="e">
        <f t="shared" si="10"/>
        <v>#N/A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</row>
    <row r="9" spans="2:101" s="6" customFormat="1" x14ac:dyDescent="0.25">
      <c r="B9" s="19" t="s">
        <v>1058</v>
      </c>
      <c r="C9" s="15" t="s">
        <v>10</v>
      </c>
      <c r="D9" s="15">
        <v>11.583333333333334</v>
      </c>
      <c r="E9" s="15">
        <v>20.552081705477935</v>
      </c>
      <c r="F9" s="15">
        <v>1180</v>
      </c>
      <c r="G9" s="32">
        <v>17.68</v>
      </c>
      <c r="H9" s="7"/>
      <c r="I9" s="7"/>
      <c r="J9" s="118">
        <f t="shared" si="0"/>
        <v>17.977995428647063</v>
      </c>
      <c r="K9" s="119">
        <f t="shared" si="1"/>
        <v>21.599999980032489</v>
      </c>
      <c r="L9" s="119">
        <f t="shared" si="2"/>
        <v>33.744376376246962</v>
      </c>
      <c r="M9" s="120">
        <f t="shared" si="3"/>
        <v>292.06972410197278</v>
      </c>
      <c r="N9" s="117"/>
      <c r="O9" s="118">
        <f t="shared" si="4"/>
        <v>1.55205715930766</v>
      </c>
      <c r="P9" s="119">
        <f t="shared" si="5"/>
        <v>1.864748199715035</v>
      </c>
      <c r="Q9" s="119">
        <f t="shared" si="6"/>
        <v>2.9131835720500971</v>
      </c>
      <c r="R9" s="120">
        <f t="shared" si="7"/>
        <v>25.214652440458082</v>
      </c>
      <c r="S9" s="7"/>
      <c r="T9" s="11" t="s">
        <v>1047</v>
      </c>
      <c r="U9" s="14">
        <f>_xlfn.STDEV.S(O6:O556)</f>
        <v>0.59510554964446494</v>
      </c>
      <c r="V9" s="14">
        <f t="shared" ref="V9:W9" si="11">_xlfn.STDEV.S(P6:P556)</f>
        <v>0.68020163084731233</v>
      </c>
      <c r="W9" s="14">
        <f t="shared" si="11"/>
        <v>0.78068195797362905</v>
      </c>
      <c r="X9" s="14">
        <f>_xlfn.STDEV.S(R6:R556)</f>
        <v>7.3226109593261359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</row>
    <row r="10" spans="2:101" s="6" customFormat="1" x14ac:dyDescent="0.25">
      <c r="B10" s="19" t="s">
        <v>1058</v>
      </c>
      <c r="C10" s="15" t="s">
        <v>11</v>
      </c>
      <c r="D10" s="15">
        <v>6.333333333333333</v>
      </c>
      <c r="E10" s="15">
        <v>24.071975387011893</v>
      </c>
      <c r="F10" s="15">
        <v>680</v>
      </c>
      <c r="G10" s="32">
        <v>14.36</v>
      </c>
      <c r="H10" s="7"/>
      <c r="I10" s="7"/>
      <c r="J10" s="118">
        <f t="shared" si="0"/>
        <v>18.740072511859285</v>
      </c>
      <c r="K10" s="119">
        <f t="shared" si="1"/>
        <v>19.500000076349309</v>
      </c>
      <c r="L10" s="119">
        <f t="shared" si="2"/>
        <v>17.148996037320849</v>
      </c>
      <c r="M10" s="120">
        <f t="shared" si="3"/>
        <v>140.57411462000067</v>
      </c>
      <c r="N10" s="117"/>
      <c r="O10" s="118">
        <f t="shared" si="4"/>
        <v>2.9589588176619928</v>
      </c>
      <c r="P10" s="119">
        <f t="shared" si="5"/>
        <v>3.0789473804762069</v>
      </c>
      <c r="Q10" s="119">
        <f t="shared" si="6"/>
        <v>2.7077362164190815</v>
      </c>
      <c r="R10" s="120">
        <f t="shared" si="7"/>
        <v>22.195912834736948</v>
      </c>
      <c r="S10" s="7"/>
      <c r="T10" s="11" t="s">
        <v>1195</v>
      </c>
      <c r="U10" s="14">
        <f>_xlfn.VAR.S(O6:O556)</f>
        <v>0.35415061521764074</v>
      </c>
      <c r="V10" s="14">
        <f t="shared" ref="V10:W10" si="12">_xlfn.VAR.S(P6:P556)</f>
        <v>0.46267425860734335</v>
      </c>
      <c r="W10" s="14">
        <f t="shared" si="12"/>
        <v>0.60946431950553914</v>
      </c>
      <c r="X10" s="14">
        <f>_xlfn.VAR.S(R6:R556)</f>
        <v>53.620631261643233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</row>
    <row r="11" spans="2:101" s="6" customFormat="1" x14ac:dyDescent="0.25">
      <c r="B11" s="19" t="s">
        <v>1058</v>
      </c>
      <c r="C11" s="15" t="s">
        <v>12</v>
      </c>
      <c r="D11" s="15">
        <v>6.333333333333333</v>
      </c>
      <c r="E11" s="15">
        <v>23.454745248883384</v>
      </c>
      <c r="F11" s="15">
        <v>852</v>
      </c>
      <c r="G11" s="32">
        <v>14.48</v>
      </c>
      <c r="H11" s="7"/>
      <c r="I11" s="7"/>
      <c r="J11" s="118">
        <f t="shared" si="0"/>
        <v>17.624315947924202</v>
      </c>
      <c r="K11" s="119">
        <f t="shared" si="1"/>
        <v>19.000000074391636</v>
      </c>
      <c r="L11" s="119">
        <f t="shared" si="2"/>
        <v>19.739712452418285</v>
      </c>
      <c r="M11" s="120">
        <f t="shared" si="3"/>
        <v>154.96754445531599</v>
      </c>
      <c r="N11" s="117"/>
      <c r="O11" s="118">
        <f t="shared" si="4"/>
        <v>2.7827867286196111</v>
      </c>
      <c r="P11" s="119">
        <f t="shared" si="5"/>
        <v>3.0000000117460481</v>
      </c>
      <c r="Q11" s="119">
        <f t="shared" si="6"/>
        <v>3.1167967030134136</v>
      </c>
      <c r="R11" s="120">
        <f t="shared" si="7"/>
        <v>24.468559650839367</v>
      </c>
      <c r="S11" s="7"/>
      <c r="T11" s="11" t="s">
        <v>1048</v>
      </c>
      <c r="U11" s="14">
        <f>MAX(O6:O556)</f>
        <v>3.7781886505694064</v>
      </c>
      <c r="V11" s="14">
        <f t="shared" ref="V11:X11" si="13">MAX(P6:P556)</f>
        <v>3.9875844388011781</v>
      </c>
      <c r="W11" s="14">
        <f t="shared" si="13"/>
        <v>6.3223405384445037</v>
      </c>
      <c r="X11" s="14">
        <f t="shared" si="13"/>
        <v>54.030112488301718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</row>
    <row r="12" spans="2:101" customFormat="1" ht="15.75" thickBot="1" x14ac:dyDescent="0.3">
      <c r="B12" s="19" t="s">
        <v>1058</v>
      </c>
      <c r="C12" s="3" t="s">
        <v>13</v>
      </c>
      <c r="D12" s="3">
        <v>6.333333333333333</v>
      </c>
      <c r="E12" s="3">
        <v>23.454745248883384</v>
      </c>
      <c r="F12" s="3">
        <v>734</v>
      </c>
      <c r="G12" s="4">
        <v>18.75</v>
      </c>
      <c r="H12" s="7"/>
      <c r="I12" s="7"/>
      <c r="J12" s="118">
        <f t="shared" si="0"/>
        <v>18.154120077768479</v>
      </c>
      <c r="K12" s="119">
        <f t="shared" si="1"/>
        <v>19.000000074391636</v>
      </c>
      <c r="L12" s="119">
        <f t="shared" si="2"/>
        <v>17.517781786842594</v>
      </c>
      <c r="M12" s="120">
        <f t="shared" si="3"/>
        <v>138.51764308131939</v>
      </c>
      <c r="N12" s="117"/>
      <c r="O12" s="118">
        <f t="shared" si="4"/>
        <v>2.8664400122792335</v>
      </c>
      <c r="P12" s="119">
        <f t="shared" si="5"/>
        <v>3.0000000117460481</v>
      </c>
      <c r="Q12" s="119">
        <f t="shared" si="6"/>
        <v>2.765965545290936</v>
      </c>
      <c r="R12" s="120">
        <f t="shared" si="7"/>
        <v>21.871206802313591</v>
      </c>
      <c r="S12" s="7"/>
      <c r="T12" s="12" t="s">
        <v>1049</v>
      </c>
      <c r="U12" s="14">
        <f>MIN(O6:O556)</f>
        <v>0.38287322978021959</v>
      </c>
      <c r="V12" s="14">
        <f t="shared" ref="V12:X12" si="14">MIN(P6:P556)</f>
        <v>0.40298507617909951</v>
      </c>
      <c r="W12" s="14">
        <f t="shared" si="14"/>
        <v>5.9639658032739372E-2</v>
      </c>
      <c r="X12" s="14">
        <f t="shared" si="14"/>
        <v>2.3982563248881445E-2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</row>
    <row r="13" spans="2:101" customFormat="1" x14ac:dyDescent="0.25">
      <c r="B13" s="19" t="s">
        <v>1058</v>
      </c>
      <c r="C13" s="3" t="s">
        <v>14</v>
      </c>
      <c r="D13" s="3">
        <v>6.333333333333333</v>
      </c>
      <c r="E13" s="3">
        <v>23.454745248883384</v>
      </c>
      <c r="F13" s="3">
        <v>600</v>
      </c>
      <c r="G13" s="4">
        <v>15.01</v>
      </c>
      <c r="H13" s="7"/>
      <c r="I13" s="7"/>
      <c r="J13" s="118">
        <f t="shared" si="0"/>
        <v>18.775100236794369</v>
      </c>
      <c r="K13" s="119">
        <f t="shared" si="1"/>
        <v>19.000000074391636</v>
      </c>
      <c r="L13" s="119">
        <f t="shared" si="2"/>
        <v>15.296261729699843</v>
      </c>
      <c r="M13" s="120">
        <f t="shared" si="3"/>
        <v>121.94421723410889</v>
      </c>
      <c r="N13" s="117"/>
      <c r="O13" s="118">
        <f t="shared" si="4"/>
        <v>2.9644895110727951</v>
      </c>
      <c r="P13" s="119">
        <f t="shared" si="5"/>
        <v>3.0000000117460481</v>
      </c>
      <c r="Q13" s="119">
        <f t="shared" si="6"/>
        <v>2.4151992204789225</v>
      </c>
      <c r="R13" s="120">
        <f t="shared" si="7"/>
        <v>19.254350089596141</v>
      </c>
      <c r="T13" s="22" t="s">
        <v>1055</v>
      </c>
      <c r="U13" s="5">
        <f>COUNT(O6:O556)</f>
        <v>551</v>
      </c>
      <c r="V13" s="5">
        <f t="shared" ref="V13:X13" si="15">COUNT(P6:P556)</f>
        <v>551</v>
      </c>
      <c r="W13" s="5">
        <f t="shared" si="15"/>
        <v>551</v>
      </c>
      <c r="X13" s="5">
        <f t="shared" si="15"/>
        <v>551</v>
      </c>
    </row>
    <row r="14" spans="2:101" customFormat="1" ht="15.75" thickBot="1" x14ac:dyDescent="0.3">
      <c r="B14" s="19" t="s">
        <v>1058</v>
      </c>
      <c r="C14" s="3" t="s">
        <v>15</v>
      </c>
      <c r="D14" s="3">
        <v>6.333333333333333</v>
      </c>
      <c r="E14" s="3">
        <v>23.454745248883384</v>
      </c>
      <c r="F14" s="3">
        <v>655</v>
      </c>
      <c r="G14" s="4">
        <v>15.24</v>
      </c>
      <c r="H14" s="7"/>
      <c r="I14" s="7"/>
      <c r="J14" s="118">
        <f t="shared" si="0"/>
        <v>18.517690834460012</v>
      </c>
      <c r="K14" s="119">
        <f t="shared" si="1"/>
        <v>19.000000074391636</v>
      </c>
      <c r="L14" s="119">
        <f t="shared" si="2"/>
        <v>16.171791631169427</v>
      </c>
      <c r="M14" s="120">
        <f t="shared" si="3"/>
        <v>128.49226453898606</v>
      </c>
      <c r="N14" s="117"/>
      <c r="O14" s="118">
        <f t="shared" si="4"/>
        <v>2.9238459212305283</v>
      </c>
      <c r="P14" s="119">
        <f t="shared" si="5"/>
        <v>3.0000000117460481</v>
      </c>
      <c r="Q14" s="119">
        <f t="shared" si="6"/>
        <v>2.5534407838688571</v>
      </c>
      <c r="R14" s="120">
        <f t="shared" si="7"/>
        <v>20.28825229562938</v>
      </c>
      <c r="T14" s="25" t="s">
        <v>1193</v>
      </c>
      <c r="U14" s="26">
        <f>+_xlfn.CONFIDENCE.NORM(0.05,U9,U13)</f>
        <v>4.9689690522789091E-2</v>
      </c>
      <c r="V14" s="26">
        <f t="shared" ref="V14:X14" si="16">+_xlfn.CONFIDENCE.NORM(0.05,V9,V13)</f>
        <v>5.6794981243397893E-2</v>
      </c>
      <c r="W14" s="26">
        <f t="shared" si="16"/>
        <v>6.5184814545268741E-2</v>
      </c>
      <c r="X14" s="26">
        <f t="shared" si="16"/>
        <v>0.61141804610136807</v>
      </c>
    </row>
    <row r="15" spans="2:101" customFormat="1" x14ac:dyDescent="0.25">
      <c r="B15" s="19" t="s">
        <v>1058</v>
      </c>
      <c r="C15" s="3" t="s">
        <v>16</v>
      </c>
      <c r="D15" s="3">
        <v>6.333333333333333</v>
      </c>
      <c r="E15" s="3">
        <v>23.578191276509099</v>
      </c>
      <c r="F15" s="3">
        <v>440</v>
      </c>
      <c r="G15" s="4">
        <v>19.98</v>
      </c>
      <c r="H15" s="7"/>
      <c r="I15" s="7"/>
      <c r="J15" s="118">
        <f t="shared" si="0"/>
        <v>19.615774391074844</v>
      </c>
      <c r="K15" s="119">
        <f t="shared" si="1"/>
        <v>19.100000074783178</v>
      </c>
      <c r="L15" s="119">
        <f t="shared" si="2"/>
        <v>13.096731563165543</v>
      </c>
      <c r="M15" s="120">
        <f t="shared" si="3"/>
        <v>106.12545528271059</v>
      </c>
      <c r="N15" s="117"/>
      <c r="O15" s="118">
        <f t="shared" si="4"/>
        <v>3.0972275354328702</v>
      </c>
      <c r="P15" s="119">
        <f t="shared" si="5"/>
        <v>3.015789485492081</v>
      </c>
      <c r="Q15" s="119">
        <f t="shared" si="6"/>
        <v>2.0679049836577175</v>
      </c>
      <c r="R15" s="120">
        <f t="shared" si="7"/>
        <v>16.7566508341122</v>
      </c>
    </row>
    <row r="16" spans="2:101" customFormat="1" x14ac:dyDescent="0.25">
      <c r="B16" s="19" t="s">
        <v>1058</v>
      </c>
      <c r="C16" s="3" t="s">
        <v>17</v>
      </c>
      <c r="D16" s="3">
        <v>6.333333333333333</v>
      </c>
      <c r="E16" s="3">
        <v>23.454745248883384</v>
      </c>
      <c r="F16" s="3">
        <v>700</v>
      </c>
      <c r="G16" s="4">
        <v>16.7</v>
      </c>
      <c r="H16" s="7"/>
      <c r="I16" s="7"/>
      <c r="J16" s="118">
        <f t="shared" si="0"/>
        <v>18.309710297689673</v>
      </c>
      <c r="K16" s="119">
        <f t="shared" si="1"/>
        <v>19.000000074391636</v>
      </c>
      <c r="L16" s="119">
        <f t="shared" si="2"/>
        <v>16.925281775738796</v>
      </c>
      <c r="M16" s="120">
        <f t="shared" si="3"/>
        <v>134.11044868724787</v>
      </c>
      <c r="N16" s="117"/>
      <c r="O16" s="118">
        <f t="shared" si="4"/>
        <v>2.8910068891088958</v>
      </c>
      <c r="P16" s="119">
        <f t="shared" si="5"/>
        <v>3.0000000117460481</v>
      </c>
      <c r="Q16" s="119">
        <f t="shared" si="6"/>
        <v>2.6724129119587574</v>
      </c>
      <c r="R16" s="120">
        <f t="shared" si="7"/>
        <v>21.175334003249663</v>
      </c>
      <c r="U16" s="2"/>
      <c r="V16" s="2"/>
      <c r="W16" s="2"/>
      <c r="X16" s="2"/>
    </row>
    <row r="17" spans="2:24" customFormat="1" x14ac:dyDescent="0.25">
      <c r="B17" s="19" t="s">
        <v>1058</v>
      </c>
      <c r="C17" s="3" t="s">
        <v>18</v>
      </c>
      <c r="D17" s="3">
        <v>6.333333333333333</v>
      </c>
      <c r="E17" s="3">
        <v>18.171255266503344</v>
      </c>
      <c r="F17" s="3">
        <v>820</v>
      </c>
      <c r="G17" s="4">
        <v>12.1</v>
      </c>
      <c r="H17" s="7"/>
      <c r="I17" s="7"/>
      <c r="J17" s="118">
        <f t="shared" si="0"/>
        <v>15.201765882275586</v>
      </c>
      <c r="K17" s="119">
        <f t="shared" si="1"/>
        <v>14.720000057633944</v>
      </c>
      <c r="L17" s="119">
        <f t="shared" si="2"/>
        <v>14.362078532736016</v>
      </c>
      <c r="M17" s="120">
        <f t="shared" si="3"/>
        <v>85.374157322928966</v>
      </c>
      <c r="N17" s="117"/>
      <c r="O17" s="118">
        <f t="shared" si="4"/>
        <v>2.4002788235171977</v>
      </c>
      <c r="P17" s="119">
        <f t="shared" si="5"/>
        <v>2.3242105354158862</v>
      </c>
      <c r="Q17" s="119">
        <f t="shared" si="6"/>
        <v>2.2676966104320027</v>
      </c>
      <c r="R17" s="120">
        <f t="shared" si="7"/>
        <v>13.480130103620363</v>
      </c>
      <c r="U17" s="2"/>
      <c r="V17" s="2"/>
      <c r="W17" s="2"/>
      <c r="X17" s="2"/>
    </row>
    <row r="18" spans="2:24" customFormat="1" x14ac:dyDescent="0.25">
      <c r="B18" s="19" t="s">
        <v>1058</v>
      </c>
      <c r="C18" s="3" t="s">
        <v>19</v>
      </c>
      <c r="D18" s="3">
        <v>6.333333333333333</v>
      </c>
      <c r="E18" s="3">
        <v>19.874810447738028</v>
      </c>
      <c r="F18" s="3">
        <v>860</v>
      </c>
      <c r="G18" s="4">
        <v>13.95</v>
      </c>
      <c r="H18" s="7"/>
      <c r="I18" s="7"/>
      <c r="J18" s="118">
        <f t="shared" si="0"/>
        <v>15.825750633509843</v>
      </c>
      <c r="K18" s="119">
        <f t="shared" si="1"/>
        <v>16.100000063037125</v>
      </c>
      <c r="L18" s="119">
        <f t="shared" si="2"/>
        <v>16.398267880239644</v>
      </c>
      <c r="M18" s="120">
        <f t="shared" si="3"/>
        <v>106.43080180703905</v>
      </c>
      <c r="N18" s="117"/>
      <c r="O18" s="118">
        <f t="shared" si="4"/>
        <v>2.4988027316068173</v>
      </c>
      <c r="P18" s="119">
        <f t="shared" si="5"/>
        <v>2.5421052731111251</v>
      </c>
      <c r="Q18" s="119">
        <f t="shared" si="6"/>
        <v>2.5892001916167859</v>
      </c>
      <c r="R18" s="120">
        <f t="shared" si="7"/>
        <v>16.804863443216693</v>
      </c>
    </row>
    <row r="19" spans="2:24" customFormat="1" x14ac:dyDescent="0.25">
      <c r="B19" s="19" t="s">
        <v>1058</v>
      </c>
      <c r="C19" s="3" t="s">
        <v>20</v>
      </c>
      <c r="D19" s="3">
        <v>6.333333333333333</v>
      </c>
      <c r="E19" s="3">
        <v>23.454745248883384</v>
      </c>
      <c r="F19" s="3">
        <v>800</v>
      </c>
      <c r="G19" s="4">
        <v>15.69</v>
      </c>
      <c r="H19" s="7"/>
      <c r="I19" s="7"/>
      <c r="J19" s="118">
        <f t="shared" si="0"/>
        <v>17.855856264795232</v>
      </c>
      <c r="K19" s="119">
        <f t="shared" si="1"/>
        <v>19.000000074391636</v>
      </c>
      <c r="L19" s="119">
        <f t="shared" si="2"/>
        <v>18.727789067046587</v>
      </c>
      <c r="M19" s="120">
        <f t="shared" si="3"/>
        <v>147.49049077551658</v>
      </c>
      <c r="N19" s="117"/>
      <c r="O19" s="118">
        <f t="shared" si="4"/>
        <v>2.8193457260203001</v>
      </c>
      <c r="P19" s="119">
        <f t="shared" si="5"/>
        <v>3.0000000117460481</v>
      </c>
      <c r="Q19" s="119">
        <f t="shared" si="6"/>
        <v>2.9570193263757769</v>
      </c>
      <c r="R19" s="120">
        <f t="shared" si="7"/>
        <v>23.287972227713144</v>
      </c>
    </row>
    <row r="20" spans="2:24" customFormat="1" x14ac:dyDescent="0.25">
      <c r="B20" s="19" t="s">
        <v>1058</v>
      </c>
      <c r="C20" s="3" t="s">
        <v>21</v>
      </c>
      <c r="D20" s="3">
        <v>11</v>
      </c>
      <c r="E20" s="3">
        <v>24.418848184897907</v>
      </c>
      <c r="F20" s="3">
        <v>900</v>
      </c>
      <c r="G20" s="4">
        <v>19.12</v>
      </c>
      <c r="H20" s="7"/>
      <c r="I20" s="7"/>
      <c r="J20" s="118">
        <f t="shared" si="0"/>
        <v>21.359746268586864</v>
      </c>
      <c r="K20" s="119">
        <f t="shared" si="1"/>
        <v>25.239999984482267</v>
      </c>
      <c r="L20" s="119">
        <f t="shared" si="2"/>
        <v>30.6125035080548</v>
      </c>
      <c r="M20" s="120">
        <f t="shared" si="3"/>
        <v>325.14826549404063</v>
      </c>
      <c r="N20" s="117"/>
      <c r="O20" s="118">
        <f t="shared" si="4"/>
        <v>1.9417951153260786</v>
      </c>
      <c r="P20" s="119">
        <f t="shared" si="5"/>
        <v>2.2945454531347518</v>
      </c>
      <c r="Q20" s="119">
        <f t="shared" si="6"/>
        <v>2.7829548643686182</v>
      </c>
      <c r="R20" s="120">
        <f t="shared" si="7"/>
        <v>29.558933226730968</v>
      </c>
    </row>
    <row r="21" spans="2:24" customFormat="1" x14ac:dyDescent="0.25">
      <c r="B21" s="19" t="s">
        <v>1058</v>
      </c>
      <c r="C21" s="3" t="s">
        <v>22</v>
      </c>
      <c r="D21" s="3">
        <v>7.166666666666667</v>
      </c>
      <c r="E21" s="3">
        <v>21.015457553761951</v>
      </c>
      <c r="F21" s="3">
        <v>440</v>
      </c>
      <c r="G21" s="4">
        <v>17.850000000000001</v>
      </c>
      <c r="H21" s="7"/>
      <c r="I21" s="7"/>
      <c r="J21" s="118">
        <f t="shared" si="0"/>
        <v>19.085096780365344</v>
      </c>
      <c r="K21" s="119">
        <f t="shared" si="1"/>
        <v>18.200000048661259</v>
      </c>
      <c r="L21" s="119">
        <f t="shared" si="2"/>
        <v>12.509241089551773</v>
      </c>
      <c r="M21" s="120">
        <f t="shared" si="3"/>
        <v>94.871349035428423</v>
      </c>
      <c r="N21" s="117"/>
      <c r="O21" s="118">
        <f t="shared" si="4"/>
        <v>2.6630367600509781</v>
      </c>
      <c r="P21" s="119">
        <f t="shared" si="5"/>
        <v>2.5395348905108732</v>
      </c>
      <c r="Q21" s="119">
        <f t="shared" si="6"/>
        <v>1.7454755008676892</v>
      </c>
      <c r="R21" s="120">
        <f t="shared" si="7"/>
        <v>13.237862656106291</v>
      </c>
    </row>
    <row r="22" spans="2:24" customFormat="1" x14ac:dyDescent="0.25">
      <c r="B22" s="19" t="s">
        <v>1058</v>
      </c>
      <c r="C22" s="3" t="s">
        <v>23</v>
      </c>
      <c r="D22" s="3">
        <v>7</v>
      </c>
      <c r="E22" s="3">
        <v>20.13734015072972</v>
      </c>
      <c r="F22" s="3">
        <v>930</v>
      </c>
      <c r="G22" s="4">
        <v>13.12</v>
      </c>
      <c r="H22" s="7"/>
      <c r="I22" s="7"/>
      <c r="J22" s="118">
        <f t="shared" si="0"/>
        <v>16.301981073592092</v>
      </c>
      <c r="K22" s="119">
        <f t="shared" si="1"/>
        <v>17.230000049939008</v>
      </c>
      <c r="L22" s="119">
        <f t="shared" si="2"/>
        <v>19.261417542862688</v>
      </c>
      <c r="M22" s="120">
        <f t="shared" si="3"/>
        <v>133.63540814773899</v>
      </c>
      <c r="N22" s="117"/>
      <c r="O22" s="118">
        <f t="shared" si="4"/>
        <v>2.3288544390845844</v>
      </c>
      <c r="P22" s="119">
        <f t="shared" si="5"/>
        <v>2.4614285785627152</v>
      </c>
      <c r="Q22" s="119">
        <f t="shared" si="6"/>
        <v>2.7516310775518127</v>
      </c>
      <c r="R22" s="120">
        <f t="shared" si="7"/>
        <v>19.09077259253414</v>
      </c>
    </row>
    <row r="23" spans="2:24" customFormat="1" x14ac:dyDescent="0.25">
      <c r="B23" s="19" t="s">
        <v>1058</v>
      </c>
      <c r="C23" s="3" t="s">
        <v>24</v>
      </c>
      <c r="D23" s="3">
        <v>7</v>
      </c>
      <c r="E23" s="3">
        <v>21.11907931071887</v>
      </c>
      <c r="F23" s="3">
        <v>540</v>
      </c>
      <c r="G23" s="4">
        <v>17.25</v>
      </c>
      <c r="H23" s="7"/>
      <c r="I23" s="7"/>
      <c r="J23" s="118">
        <f t="shared" si="0"/>
        <v>18.506921848489188</v>
      </c>
      <c r="K23" s="119">
        <f t="shared" si="1"/>
        <v>18.070000052373647</v>
      </c>
      <c r="L23" s="119">
        <f t="shared" si="2"/>
        <v>13.687769726687222</v>
      </c>
      <c r="M23" s="120">
        <f t="shared" si="3"/>
        <v>102.44713824093085</v>
      </c>
      <c r="N23" s="117"/>
      <c r="O23" s="118">
        <f t="shared" si="4"/>
        <v>2.6438459783555985</v>
      </c>
      <c r="P23" s="119">
        <f t="shared" si="5"/>
        <v>2.5814285789105211</v>
      </c>
      <c r="Q23" s="119">
        <f t="shared" si="6"/>
        <v>1.9553956752410317</v>
      </c>
      <c r="R23" s="120">
        <f t="shared" si="7"/>
        <v>14.635305462990122</v>
      </c>
    </row>
    <row r="24" spans="2:24" customFormat="1" x14ac:dyDescent="0.25">
      <c r="B24" s="19" t="s">
        <v>1058</v>
      </c>
      <c r="C24" s="3" t="s">
        <v>25</v>
      </c>
      <c r="D24" s="3">
        <v>7</v>
      </c>
      <c r="E24" s="3">
        <v>20.429524424536012</v>
      </c>
      <c r="F24" s="3">
        <v>690</v>
      </c>
      <c r="G24" s="4">
        <v>14.61</v>
      </c>
      <c r="H24" s="7"/>
      <c r="I24" s="7"/>
      <c r="J24" s="118">
        <f t="shared" si="0"/>
        <v>17.464113530415034</v>
      </c>
      <c r="K24" s="119">
        <f t="shared" si="1"/>
        <v>17.480000050663602</v>
      </c>
      <c r="L24" s="119">
        <f t="shared" si="2"/>
        <v>15.348553559865017</v>
      </c>
      <c r="M24" s="120">
        <f t="shared" si="3"/>
        <v>109.74521726122937</v>
      </c>
      <c r="N24" s="117"/>
      <c r="O24" s="118">
        <f t="shared" si="4"/>
        <v>2.494873361487862</v>
      </c>
      <c r="P24" s="119">
        <f t="shared" si="5"/>
        <v>2.4971428643805145</v>
      </c>
      <c r="Q24" s="119">
        <f t="shared" si="6"/>
        <v>2.1926505085521453</v>
      </c>
      <c r="R24" s="120">
        <f t="shared" si="7"/>
        <v>15.677888180175625</v>
      </c>
    </row>
    <row r="25" spans="2:24" customFormat="1" x14ac:dyDescent="0.25">
      <c r="B25" s="19" t="s">
        <v>1058</v>
      </c>
      <c r="C25" s="3" t="s">
        <v>26</v>
      </c>
      <c r="D25" s="3">
        <v>9.3333333333333339</v>
      </c>
      <c r="E25" s="3">
        <v>19.192331864472301</v>
      </c>
      <c r="F25" s="3">
        <v>760</v>
      </c>
      <c r="G25" s="4">
        <v>20.14</v>
      </c>
      <c r="H25" s="7"/>
      <c r="I25" s="7"/>
      <c r="J25" s="118">
        <f t="shared" si="0"/>
        <v>18.170833314564064</v>
      </c>
      <c r="K25" s="119">
        <f t="shared" si="1"/>
        <v>18.700000009033268</v>
      </c>
      <c r="L25" s="119">
        <f t="shared" si="2"/>
        <v>18.452876997540127</v>
      </c>
      <c r="M25" s="120">
        <f t="shared" si="3"/>
        <v>140.8911397022305</v>
      </c>
      <c r="N25" s="117"/>
      <c r="O25" s="118">
        <f t="shared" si="4"/>
        <v>1.9468749979890068</v>
      </c>
      <c r="P25" s="119">
        <f t="shared" si="5"/>
        <v>2.0035714295392784</v>
      </c>
      <c r="Q25" s="119">
        <f t="shared" si="6"/>
        <v>1.9770939640221563</v>
      </c>
      <c r="R25" s="120">
        <f t="shared" si="7"/>
        <v>15.09547925381041</v>
      </c>
    </row>
    <row r="26" spans="2:24" customFormat="1" x14ac:dyDescent="0.25">
      <c r="B26" s="19" t="s">
        <v>1058</v>
      </c>
      <c r="C26" s="3" t="s">
        <v>27</v>
      </c>
      <c r="D26" s="3">
        <v>9.3333333333333339</v>
      </c>
      <c r="E26" s="3">
        <v>18.06337116656217</v>
      </c>
      <c r="F26" s="3">
        <v>980</v>
      </c>
      <c r="G26" s="4">
        <v>19.41</v>
      </c>
      <c r="H26" s="7"/>
      <c r="I26" s="7"/>
      <c r="J26" s="118">
        <f t="shared" si="0"/>
        <v>16.631284001140958</v>
      </c>
      <c r="K26" s="119">
        <f t="shared" si="1"/>
        <v>17.600000008501905</v>
      </c>
      <c r="L26" s="119">
        <f t="shared" si="2"/>
        <v>21.689361872755622</v>
      </c>
      <c r="M26" s="120">
        <f t="shared" si="3"/>
        <v>153.90288839812047</v>
      </c>
      <c r="N26" s="117"/>
      <c r="O26" s="118">
        <f t="shared" si="4"/>
        <v>1.781923285836531</v>
      </c>
      <c r="P26" s="119">
        <f t="shared" si="5"/>
        <v>1.8857142866252039</v>
      </c>
      <c r="Q26" s="119">
        <f t="shared" si="6"/>
        <v>2.3238602006523879</v>
      </c>
      <c r="R26" s="120">
        <f t="shared" si="7"/>
        <v>16.489595185512908</v>
      </c>
    </row>
    <row r="27" spans="2:24" customFormat="1" x14ac:dyDescent="0.25">
      <c r="B27" s="19" t="s">
        <v>1058</v>
      </c>
      <c r="C27" s="3" t="s">
        <v>28</v>
      </c>
      <c r="D27" s="3">
        <v>9.3333333333333339</v>
      </c>
      <c r="E27" s="3">
        <v>23.605541865393739</v>
      </c>
      <c r="F27" s="3">
        <v>1040</v>
      </c>
      <c r="G27" s="4">
        <v>18.760000000000002</v>
      </c>
      <c r="H27" s="7"/>
      <c r="I27" s="7"/>
      <c r="J27" s="118">
        <f t="shared" si="0"/>
        <v>19.293308596784964</v>
      </c>
      <c r="K27" s="119">
        <f t="shared" si="1"/>
        <v>23.000000011110437</v>
      </c>
      <c r="L27" s="119">
        <f t="shared" si="2"/>
        <v>31.099287379051795</v>
      </c>
      <c r="M27" s="120">
        <f t="shared" si="3"/>
        <v>294.95441548097415</v>
      </c>
      <c r="N27" s="117"/>
      <c r="O27" s="118">
        <f t="shared" si="4"/>
        <v>2.0671402067983888</v>
      </c>
      <c r="P27" s="119">
        <f t="shared" si="5"/>
        <v>2.4642857154761182</v>
      </c>
      <c r="Q27" s="119">
        <f t="shared" si="6"/>
        <v>3.3320665048984064</v>
      </c>
      <c r="R27" s="120">
        <f t="shared" si="7"/>
        <v>31.602258801532944</v>
      </c>
    </row>
    <row r="28" spans="2:24" customFormat="1" x14ac:dyDescent="0.25">
      <c r="B28" s="19" t="s">
        <v>1058</v>
      </c>
      <c r="C28" s="3" t="s">
        <v>29</v>
      </c>
      <c r="D28" s="3">
        <v>9.3333333333333339</v>
      </c>
      <c r="E28" s="3">
        <v>22.240525748829668</v>
      </c>
      <c r="F28" s="3">
        <v>1080</v>
      </c>
      <c r="G28" s="4">
        <v>17.63</v>
      </c>
      <c r="H28" s="7"/>
      <c r="I28" s="7"/>
      <c r="J28" s="118">
        <f t="shared" si="0"/>
        <v>18.346536322440027</v>
      </c>
      <c r="K28" s="119">
        <f t="shared" si="1"/>
        <v>21.670000010467966</v>
      </c>
      <c r="L28" s="119">
        <f t="shared" si="2"/>
        <v>30.080103614528976</v>
      </c>
      <c r="M28" s="120">
        <f t="shared" si="3"/>
        <v>264.72696918452255</v>
      </c>
      <c r="N28" s="117"/>
      <c r="O28" s="118">
        <f t="shared" si="4"/>
        <v>1.9657003202614314</v>
      </c>
      <c r="P28" s="119">
        <f t="shared" si="5"/>
        <v>2.3217857154072821</v>
      </c>
      <c r="Q28" s="119">
        <f t="shared" si="6"/>
        <v>3.2228682444138186</v>
      </c>
      <c r="R28" s="120">
        <f t="shared" si="7"/>
        <v>28.363603841198842</v>
      </c>
    </row>
    <row r="29" spans="2:24" customFormat="1" x14ac:dyDescent="0.25">
      <c r="B29" s="19" t="s">
        <v>1058</v>
      </c>
      <c r="C29" s="3" t="s">
        <v>30</v>
      </c>
      <c r="D29" s="3">
        <v>9.4166666666666661</v>
      </c>
      <c r="E29" s="3">
        <v>22.50145797476911</v>
      </c>
      <c r="F29" s="3">
        <v>800</v>
      </c>
      <c r="G29" s="4">
        <v>19.52</v>
      </c>
      <c r="H29" s="7"/>
      <c r="I29" s="7"/>
      <c r="J29" s="118">
        <f t="shared" si="0"/>
        <v>19.88387188795673</v>
      </c>
      <c r="K29" s="119">
        <f t="shared" si="1"/>
        <v>22.000000009216674</v>
      </c>
      <c r="L29" s="119">
        <f t="shared" si="2"/>
        <v>23.089936654861006</v>
      </c>
      <c r="M29" s="120">
        <f t="shared" si="3"/>
        <v>210.34332293547916</v>
      </c>
      <c r="N29" s="117"/>
      <c r="O29" s="118">
        <f t="shared" si="4"/>
        <v>2.1115616164201838</v>
      </c>
      <c r="P29" s="119">
        <f t="shared" si="5"/>
        <v>2.33628318681947</v>
      </c>
      <c r="Q29" s="119">
        <f t="shared" si="6"/>
        <v>2.4520286713126733</v>
      </c>
      <c r="R29" s="120">
        <f t="shared" si="7"/>
        <v>22.337344028546461</v>
      </c>
    </row>
    <row r="30" spans="2:24" customFormat="1" x14ac:dyDescent="0.25">
      <c r="B30" s="19" t="s">
        <v>1058</v>
      </c>
      <c r="C30" s="3" t="s">
        <v>31</v>
      </c>
      <c r="D30" s="3">
        <v>9.4166666666666661</v>
      </c>
      <c r="E30" s="3">
        <v>22.50145797476911</v>
      </c>
      <c r="F30" s="3">
        <v>760</v>
      </c>
      <c r="G30" s="4">
        <v>20.07</v>
      </c>
      <c r="H30" s="7"/>
      <c r="I30" s="7"/>
      <c r="J30" s="118">
        <f t="shared" si="0"/>
        <v>20.084511487102976</v>
      </c>
      <c r="K30" s="119">
        <f t="shared" si="1"/>
        <v>22.000000009216674</v>
      </c>
      <c r="L30" s="119">
        <f t="shared" si="2"/>
        <v>22.1739212516413</v>
      </c>
      <c r="M30" s="120">
        <f t="shared" si="3"/>
        <v>202.49213917247974</v>
      </c>
      <c r="N30" s="117"/>
      <c r="O30" s="118">
        <f t="shared" si="4"/>
        <v>2.1328684765065109</v>
      </c>
      <c r="P30" s="119">
        <f t="shared" si="5"/>
        <v>2.33628318681947</v>
      </c>
      <c r="Q30" s="119">
        <f t="shared" si="6"/>
        <v>2.3547526992893415</v>
      </c>
      <c r="R30" s="120">
        <f t="shared" si="7"/>
        <v>21.503590000617319</v>
      </c>
    </row>
    <row r="31" spans="2:24" customFormat="1" x14ac:dyDescent="0.25">
      <c r="B31" s="19" t="s">
        <v>1058</v>
      </c>
      <c r="C31" s="3" t="s">
        <v>32</v>
      </c>
      <c r="D31" s="3">
        <v>8.4166666666666661</v>
      </c>
      <c r="E31" s="3">
        <v>26.417580406236542</v>
      </c>
      <c r="F31" s="3">
        <v>500</v>
      </c>
      <c r="G31" s="4">
        <v>21.69</v>
      </c>
      <c r="H31" s="7"/>
      <c r="I31" s="7"/>
      <c r="J31" s="118">
        <f t="shared" si="0"/>
        <v>23.28113663123009</v>
      </c>
      <c r="K31" s="119">
        <f t="shared" si="1"/>
        <v>24.670000031385779</v>
      </c>
      <c r="L31" s="119">
        <f t="shared" si="2"/>
        <v>19.763707637276593</v>
      </c>
      <c r="M31" s="120">
        <f t="shared" si="3"/>
        <v>215.1264212467841</v>
      </c>
      <c r="N31" s="117"/>
      <c r="O31" s="118">
        <f t="shared" si="4"/>
        <v>2.7660756393540704</v>
      </c>
      <c r="P31" s="119">
        <f t="shared" si="5"/>
        <v>2.9310891126398948</v>
      </c>
      <c r="Q31" s="119">
        <f t="shared" si="6"/>
        <v>2.3481632836368229</v>
      </c>
      <c r="R31" s="120">
        <f t="shared" si="7"/>
        <v>25.559574801598114</v>
      </c>
    </row>
    <row r="32" spans="2:24" customFormat="1" x14ac:dyDescent="0.25">
      <c r="B32" s="19" t="s">
        <v>1058</v>
      </c>
      <c r="C32" s="3" t="s">
        <v>33</v>
      </c>
      <c r="D32" s="3">
        <v>8.4166666666666661</v>
      </c>
      <c r="E32" s="3">
        <v>24.629280476021094</v>
      </c>
      <c r="F32" s="3">
        <v>660</v>
      </c>
      <c r="G32" s="4">
        <v>18.07</v>
      </c>
      <c r="H32" s="7"/>
      <c r="I32" s="7"/>
      <c r="J32" s="118">
        <f t="shared" si="0"/>
        <v>21.215161263078453</v>
      </c>
      <c r="K32" s="119">
        <f t="shared" si="1"/>
        <v>23.000000029261166</v>
      </c>
      <c r="L32" s="119">
        <f t="shared" si="2"/>
        <v>21.095950110258652</v>
      </c>
      <c r="M32" s="120">
        <f t="shared" si="3"/>
        <v>206.83059353678149</v>
      </c>
      <c r="N32" s="117"/>
      <c r="O32" s="118">
        <f t="shared" si="4"/>
        <v>2.5206132193756581</v>
      </c>
      <c r="P32" s="119">
        <f t="shared" si="5"/>
        <v>2.732673270803307</v>
      </c>
      <c r="Q32" s="119">
        <f t="shared" si="6"/>
        <v>2.5064495180505331</v>
      </c>
      <c r="R32" s="120">
        <f t="shared" si="7"/>
        <v>24.57393190536018</v>
      </c>
    </row>
    <row r="33" spans="2:18" customFormat="1" x14ac:dyDescent="0.25">
      <c r="B33" s="19" t="s">
        <v>1058</v>
      </c>
      <c r="C33" s="3" t="s">
        <v>34</v>
      </c>
      <c r="D33" s="3">
        <v>8.4166666666666661</v>
      </c>
      <c r="E33" s="3">
        <v>23.558442194454965</v>
      </c>
      <c r="F33" s="3">
        <v>880</v>
      </c>
      <c r="G33" s="4">
        <v>18.510000000000002</v>
      </c>
      <c r="H33" s="7"/>
      <c r="I33" s="7"/>
      <c r="J33" s="118">
        <f t="shared" si="0"/>
        <v>19.451007239611545</v>
      </c>
      <c r="K33" s="119">
        <f t="shared" si="1"/>
        <v>22.000000027988946</v>
      </c>
      <c r="L33" s="119">
        <f t="shared" si="2"/>
        <v>24.87405125030428</v>
      </c>
      <c r="M33" s="120">
        <f t="shared" si="3"/>
        <v>227.34255180522038</v>
      </c>
      <c r="N33" s="117"/>
      <c r="O33" s="118">
        <f t="shared" si="4"/>
        <v>2.3110107611419659</v>
      </c>
      <c r="P33" s="119">
        <f t="shared" si="5"/>
        <v>2.6138613894640335</v>
      </c>
      <c r="Q33" s="119">
        <f t="shared" si="6"/>
        <v>2.9553328218183306</v>
      </c>
      <c r="R33" s="120">
        <f t="shared" si="7"/>
        <v>27.01099625408559</v>
      </c>
    </row>
    <row r="34" spans="2:18" customFormat="1" x14ac:dyDescent="0.25">
      <c r="B34" s="19" t="s">
        <v>1058</v>
      </c>
      <c r="C34" s="3" t="s">
        <v>35</v>
      </c>
      <c r="D34" s="3">
        <v>8.4166666666666661</v>
      </c>
      <c r="E34" s="3">
        <v>23.986777507081413</v>
      </c>
      <c r="F34" s="3">
        <v>880</v>
      </c>
      <c r="G34" s="4">
        <v>17.57</v>
      </c>
      <c r="H34" s="7"/>
      <c r="I34" s="7"/>
      <c r="J34" s="118">
        <f t="shared" si="0"/>
        <v>19.698406514657929</v>
      </c>
      <c r="K34" s="119">
        <f t="shared" si="1"/>
        <v>22.400000028497828</v>
      </c>
      <c r="L34" s="119">
        <f t="shared" si="2"/>
        <v>25.456815802599262</v>
      </c>
      <c r="M34" s="120">
        <f t="shared" si="3"/>
        <v>238.01240141178098</v>
      </c>
      <c r="N34" s="117"/>
      <c r="O34" s="118">
        <f t="shared" si="4"/>
        <v>2.3404047344148036</v>
      </c>
      <c r="P34" s="119">
        <f t="shared" si="5"/>
        <v>2.661386141999742</v>
      </c>
      <c r="Q34" s="119">
        <f t="shared" si="6"/>
        <v>3.024572174566249</v>
      </c>
      <c r="R34" s="120">
        <f t="shared" si="7"/>
        <v>28.278701157835368</v>
      </c>
    </row>
    <row r="35" spans="2:18" customFormat="1" x14ac:dyDescent="0.25">
      <c r="B35" s="19" t="s">
        <v>1058</v>
      </c>
      <c r="C35" s="3" t="s">
        <v>36</v>
      </c>
      <c r="D35" s="3">
        <v>13.833333333333334</v>
      </c>
      <c r="E35" s="3">
        <v>19.70932345536011</v>
      </c>
      <c r="F35" s="3">
        <v>540</v>
      </c>
      <c r="G35" s="4">
        <v>19.899999999999999</v>
      </c>
      <c r="H35" s="7"/>
      <c r="I35" s="7"/>
      <c r="J35" s="118">
        <f t="shared" si="0"/>
        <v>21.365535898171263</v>
      </c>
      <c r="K35" s="119">
        <f t="shared" si="1"/>
        <v>21.799999959145705</v>
      </c>
      <c r="L35" s="119">
        <f t="shared" si="2"/>
        <v>18.109519073189421</v>
      </c>
      <c r="M35" s="120">
        <f t="shared" si="3"/>
        <v>164.39110844981363</v>
      </c>
      <c r="N35" s="117"/>
      <c r="O35" s="118">
        <f t="shared" si="4"/>
        <v>1.5444965709521394</v>
      </c>
      <c r="P35" s="119">
        <f t="shared" si="5"/>
        <v>1.5759036115045086</v>
      </c>
      <c r="Q35" s="119">
        <f t="shared" si="6"/>
        <v>1.3091218607124882</v>
      </c>
      <c r="R35" s="120">
        <f t="shared" si="7"/>
        <v>11.883694586733515</v>
      </c>
    </row>
    <row r="36" spans="2:18" customFormat="1" x14ac:dyDescent="0.25">
      <c r="B36" s="19" t="s">
        <v>1058</v>
      </c>
      <c r="C36" s="3" t="s">
        <v>37</v>
      </c>
      <c r="D36" s="3">
        <v>13.833333333333334</v>
      </c>
      <c r="E36" s="3">
        <v>21.698337749020304</v>
      </c>
      <c r="F36" s="3">
        <v>320</v>
      </c>
      <c r="G36" s="4">
        <v>21.74</v>
      </c>
      <c r="H36" s="7"/>
      <c r="I36" s="7"/>
      <c r="J36" s="118">
        <f t="shared" si="0"/>
        <v>23.943311044974884</v>
      </c>
      <c r="K36" s="119">
        <f t="shared" si="1"/>
        <v>23.999999955022798</v>
      </c>
      <c r="L36" s="119">
        <f t="shared" si="2"/>
        <v>16.140566517997367</v>
      </c>
      <c r="M36" s="120">
        <f t="shared" si="3"/>
        <v>165.01000028081938</v>
      </c>
      <c r="N36" s="117"/>
      <c r="O36" s="118">
        <f t="shared" si="4"/>
        <v>1.7308417622873409</v>
      </c>
      <c r="P36" s="119">
        <f t="shared" si="5"/>
        <v>1.7349397557847805</v>
      </c>
      <c r="Q36" s="119">
        <f t="shared" si="6"/>
        <v>1.1667879410600506</v>
      </c>
      <c r="R36" s="120">
        <f t="shared" si="7"/>
        <v>11.928433755239954</v>
      </c>
    </row>
    <row r="37" spans="2:18" customFormat="1" x14ac:dyDescent="0.25">
      <c r="B37" s="19" t="s">
        <v>1058</v>
      </c>
      <c r="C37" s="3" t="s">
        <v>38</v>
      </c>
      <c r="D37" s="3">
        <v>13.833333333333334</v>
      </c>
      <c r="E37" s="3">
        <v>22.439697622111829</v>
      </c>
      <c r="F37" s="3">
        <v>400</v>
      </c>
      <c r="G37" s="4">
        <v>20.64</v>
      </c>
      <c r="H37" s="7"/>
      <c r="I37" s="7"/>
      <c r="J37" s="118">
        <f t="shared" si="0"/>
        <v>23.986335218791861</v>
      </c>
      <c r="K37" s="119">
        <f t="shared" si="1"/>
        <v>24.819999953486072</v>
      </c>
      <c r="L37" s="119">
        <f t="shared" si="2"/>
        <v>18.21741719818457</v>
      </c>
      <c r="M37" s="120">
        <f t="shared" si="3"/>
        <v>192.76439096579568</v>
      </c>
      <c r="N37" s="117"/>
      <c r="O37" s="118">
        <f t="shared" si="4"/>
        <v>1.7339519435271225</v>
      </c>
      <c r="P37" s="119">
        <f t="shared" si="5"/>
        <v>1.7942168641074268</v>
      </c>
      <c r="Q37" s="119">
        <f t="shared" si="6"/>
        <v>1.316921725169969</v>
      </c>
      <c r="R37" s="120">
        <f t="shared" si="7"/>
        <v>13.934775250539447</v>
      </c>
    </row>
    <row r="38" spans="2:18" customFormat="1" x14ac:dyDescent="0.25">
      <c r="B38" s="19" t="s">
        <v>1058</v>
      </c>
      <c r="C38" s="3" t="s">
        <v>39</v>
      </c>
      <c r="D38" s="3">
        <v>10.916666666666666</v>
      </c>
      <c r="E38" s="3">
        <v>19.398239715884284</v>
      </c>
      <c r="F38" s="3">
        <v>460</v>
      </c>
      <c r="G38" s="4">
        <v>19.61</v>
      </c>
      <c r="H38" s="7"/>
      <c r="I38" s="7"/>
      <c r="J38" s="118">
        <f t="shared" si="0"/>
        <v>20.531976037509999</v>
      </c>
      <c r="K38" s="119">
        <f t="shared" si="1"/>
        <v>19.999999988642497</v>
      </c>
      <c r="L38" s="119">
        <f t="shared" si="2"/>
        <v>14.89732859376732</v>
      </c>
      <c r="M38" s="120">
        <f t="shared" si="3"/>
        <v>124.22750902002852</v>
      </c>
      <c r="N38" s="117"/>
      <c r="O38" s="118">
        <f t="shared" si="4"/>
        <v>1.880791698092519</v>
      </c>
      <c r="P38" s="119">
        <f t="shared" si="5"/>
        <v>1.8320610676619082</v>
      </c>
      <c r="Q38" s="119">
        <f t="shared" si="6"/>
        <v>1.364640787215327</v>
      </c>
      <c r="R38" s="120">
        <f t="shared" si="7"/>
        <v>11.379619146872843</v>
      </c>
    </row>
    <row r="39" spans="2:18" customFormat="1" x14ac:dyDescent="0.25">
      <c r="B39" s="19" t="s">
        <v>1058</v>
      </c>
      <c r="C39" s="3" t="s">
        <v>40</v>
      </c>
      <c r="D39" s="3">
        <v>10.916666666666666</v>
      </c>
      <c r="E39" s="3">
        <v>19.398239715884284</v>
      </c>
      <c r="F39" s="3">
        <v>420</v>
      </c>
      <c r="G39" s="4">
        <v>23.05</v>
      </c>
      <c r="H39" s="7"/>
      <c r="I39" s="7"/>
      <c r="J39" s="118">
        <f t="shared" si="0"/>
        <v>20.739155376879083</v>
      </c>
      <c r="K39" s="119">
        <f t="shared" si="1"/>
        <v>19.999999988642497</v>
      </c>
      <c r="L39" s="119">
        <f t="shared" si="2"/>
        <v>14.30632729901741</v>
      </c>
      <c r="M39" s="120">
        <f t="shared" si="3"/>
        <v>119.59064682671286</v>
      </c>
      <c r="N39" s="117"/>
      <c r="O39" s="118">
        <f t="shared" si="4"/>
        <v>1.899769958187397</v>
      </c>
      <c r="P39" s="119">
        <f t="shared" si="5"/>
        <v>1.8320610676619082</v>
      </c>
      <c r="Q39" s="119">
        <f t="shared" si="6"/>
        <v>1.3105032640321292</v>
      </c>
      <c r="R39" s="120">
        <f t="shared" si="7"/>
        <v>10.954868411607285</v>
      </c>
    </row>
    <row r="40" spans="2:18" customFormat="1" x14ac:dyDescent="0.25">
      <c r="B40" s="19" t="s">
        <v>1058</v>
      </c>
      <c r="C40" s="3" t="s">
        <v>41</v>
      </c>
      <c r="D40" s="3">
        <v>13.666666666666666</v>
      </c>
      <c r="E40" s="3">
        <v>21.223842866505528</v>
      </c>
      <c r="F40" s="3">
        <v>340</v>
      </c>
      <c r="G40" s="4">
        <v>28.61</v>
      </c>
      <c r="H40" s="7"/>
      <c r="I40" s="7"/>
      <c r="J40" s="118">
        <f t="shared" si="0"/>
        <v>23.437892573972931</v>
      </c>
      <c r="K40" s="119">
        <f t="shared" si="1"/>
        <v>23.399999957542331</v>
      </c>
      <c r="L40" s="119">
        <f t="shared" si="2"/>
        <v>15.982149365428276</v>
      </c>
      <c r="M40" s="120">
        <f t="shared" si="3"/>
        <v>158.60630408868289</v>
      </c>
      <c r="N40" s="117"/>
      <c r="O40" s="118">
        <f t="shared" si="4"/>
        <v>1.7149677493150925</v>
      </c>
      <c r="P40" s="119">
        <f t="shared" si="5"/>
        <v>1.7121951188445608</v>
      </c>
      <c r="Q40" s="119">
        <f t="shared" si="6"/>
        <v>1.1694255633240203</v>
      </c>
      <c r="R40" s="120">
        <f t="shared" si="7"/>
        <v>11.605339323562163</v>
      </c>
    </row>
    <row r="41" spans="2:18" customFormat="1" x14ac:dyDescent="0.25">
      <c r="B41" s="19" t="s">
        <v>1058</v>
      </c>
      <c r="C41" s="3" t="s">
        <v>42</v>
      </c>
      <c r="D41" s="3">
        <v>13.666666666666666</v>
      </c>
      <c r="E41" s="3">
        <v>21.405243232885923</v>
      </c>
      <c r="F41" s="3">
        <v>380</v>
      </c>
      <c r="G41" s="4">
        <v>28.42</v>
      </c>
      <c r="H41" s="7"/>
      <c r="I41" s="7"/>
      <c r="J41" s="118">
        <f t="shared" si="0"/>
        <v>23.328286427555202</v>
      </c>
      <c r="K41" s="119">
        <f t="shared" si="1"/>
        <v>23.599999957179449</v>
      </c>
      <c r="L41" s="119">
        <f t="shared" si="2"/>
        <v>16.806404381839847</v>
      </c>
      <c r="M41" s="120">
        <f t="shared" si="3"/>
        <v>167.98738105160191</v>
      </c>
      <c r="N41" s="117"/>
      <c r="O41" s="118">
        <f t="shared" si="4"/>
        <v>1.706947787382088</v>
      </c>
      <c r="P41" s="119">
        <f t="shared" si="5"/>
        <v>1.7268292651594719</v>
      </c>
      <c r="Q41" s="119">
        <f t="shared" si="6"/>
        <v>1.2297369059882817</v>
      </c>
      <c r="R41" s="120">
        <f t="shared" si="7"/>
        <v>12.291759589141604</v>
      </c>
    </row>
    <row r="42" spans="2:18" customFormat="1" x14ac:dyDescent="0.25">
      <c r="B42" s="19" t="s">
        <v>1058</v>
      </c>
      <c r="C42" s="3" t="s">
        <v>43</v>
      </c>
      <c r="D42" s="3">
        <v>13.666666666666666</v>
      </c>
      <c r="E42" s="3">
        <v>20.679641767364362</v>
      </c>
      <c r="F42" s="3">
        <v>440</v>
      </c>
      <c r="G42" s="4">
        <v>24.77</v>
      </c>
      <c r="H42" s="7"/>
      <c r="I42" s="7"/>
      <c r="J42" s="118">
        <f t="shared" si="0"/>
        <v>22.492823698007985</v>
      </c>
      <c r="K42" s="119">
        <f t="shared" si="1"/>
        <v>22.799999958630988</v>
      </c>
      <c r="L42" s="119">
        <f t="shared" si="2"/>
        <v>17.171476395469011</v>
      </c>
      <c r="M42" s="120">
        <f t="shared" si="3"/>
        <v>164.55644395042228</v>
      </c>
      <c r="N42" s="117"/>
      <c r="O42" s="118">
        <f t="shared" si="4"/>
        <v>1.6458163681469258</v>
      </c>
      <c r="P42" s="119">
        <f t="shared" si="5"/>
        <v>1.6682926798998283</v>
      </c>
      <c r="Q42" s="119">
        <f t="shared" si="6"/>
        <v>1.2564494923513911</v>
      </c>
      <c r="R42" s="120">
        <f t="shared" si="7"/>
        <v>12.040715411006509</v>
      </c>
    </row>
    <row r="43" spans="2:18" customFormat="1" x14ac:dyDescent="0.25">
      <c r="B43" s="19" t="s">
        <v>1058</v>
      </c>
      <c r="C43" s="3" t="s">
        <v>44</v>
      </c>
      <c r="D43" s="3">
        <v>13.666666666666666</v>
      </c>
      <c r="E43" s="3">
        <v>18.257946876186168</v>
      </c>
      <c r="F43" s="3">
        <v>400</v>
      </c>
      <c r="G43" s="4">
        <v>23.43</v>
      </c>
      <c r="H43" s="7"/>
      <c r="I43" s="7"/>
      <c r="J43" s="118">
        <f t="shared" si="0"/>
        <v>21.152949677534657</v>
      </c>
      <c r="K43" s="119">
        <f t="shared" si="1"/>
        <v>20.12999996347552</v>
      </c>
      <c r="L43" s="119">
        <f t="shared" si="2"/>
        <v>14.466538633053748</v>
      </c>
      <c r="M43" s="120">
        <f t="shared" si="3"/>
        <v>122.23015841245081</v>
      </c>
      <c r="N43" s="117"/>
      <c r="O43" s="118">
        <f t="shared" si="4"/>
        <v>1.5477768056732677</v>
      </c>
      <c r="P43" s="119">
        <f t="shared" si="5"/>
        <v>1.4729268265957698</v>
      </c>
      <c r="Q43" s="119">
        <f t="shared" si="6"/>
        <v>1.0585272170527134</v>
      </c>
      <c r="R43" s="120">
        <f t="shared" si="7"/>
        <v>8.9436701277403028</v>
      </c>
    </row>
    <row r="44" spans="2:18" customFormat="1" x14ac:dyDescent="0.25">
      <c r="B44" s="19" t="s">
        <v>1058</v>
      </c>
      <c r="C44" s="3" t="s">
        <v>45</v>
      </c>
      <c r="D44" s="3">
        <v>13.666666666666666</v>
      </c>
      <c r="E44" s="3">
        <v>27.210054957058372</v>
      </c>
      <c r="F44" s="3">
        <v>280</v>
      </c>
      <c r="G44" s="4">
        <v>30.68</v>
      </c>
      <c r="H44" s="7"/>
      <c r="I44" s="7"/>
      <c r="J44" s="118">
        <f t="shared" si="0"/>
        <v>28.390347583289913</v>
      </c>
      <c r="K44" s="119">
        <f t="shared" si="1"/>
        <v>29.99999994556709</v>
      </c>
      <c r="L44" s="119">
        <f t="shared" si="2"/>
        <v>20.788562957131095</v>
      </c>
      <c r="M44" s="120">
        <f t="shared" si="3"/>
        <v>284.39118113566644</v>
      </c>
      <c r="N44" s="117"/>
      <c r="O44" s="118">
        <f t="shared" si="4"/>
        <v>2.077342506094384</v>
      </c>
      <c r="P44" s="119">
        <f t="shared" si="5"/>
        <v>2.1951219472366166</v>
      </c>
      <c r="Q44" s="119">
        <f t="shared" si="6"/>
        <v>1.5211143627169095</v>
      </c>
      <c r="R44" s="120">
        <f t="shared" si="7"/>
        <v>20.809110814804864</v>
      </c>
    </row>
    <row r="45" spans="2:18" customFormat="1" x14ac:dyDescent="0.25">
      <c r="B45" s="19" t="s">
        <v>1058</v>
      </c>
      <c r="C45" s="3" t="s">
        <v>46</v>
      </c>
      <c r="D45" s="3">
        <v>13.666666666666666</v>
      </c>
      <c r="E45" s="3">
        <v>25.396051293254477</v>
      </c>
      <c r="F45" s="3">
        <v>180</v>
      </c>
      <c r="G45" s="4">
        <v>32.72</v>
      </c>
      <c r="H45" s="7"/>
      <c r="I45" s="7"/>
      <c r="J45" s="118">
        <f t="shared" si="0"/>
        <v>27.594691229401519</v>
      </c>
      <c r="K45" s="119">
        <f t="shared" si="1"/>
        <v>27.999999949195946</v>
      </c>
      <c r="L45" s="119">
        <f t="shared" si="2"/>
        <v>17.032564244954671</v>
      </c>
      <c r="M45" s="120">
        <f t="shared" si="3"/>
        <v>212.94046476073001</v>
      </c>
      <c r="N45" s="117"/>
      <c r="O45" s="118">
        <f t="shared" si="4"/>
        <v>2.019123748492794</v>
      </c>
      <c r="P45" s="119">
        <f t="shared" si="5"/>
        <v>2.0487804840875081</v>
      </c>
      <c r="Q45" s="119">
        <f t="shared" si="6"/>
        <v>1.2462851886552198</v>
      </c>
      <c r="R45" s="120">
        <f t="shared" si="7"/>
        <v>15.581009616638783</v>
      </c>
    </row>
    <row r="46" spans="2:18" customFormat="1" x14ac:dyDescent="0.25">
      <c r="B46" s="19" t="s">
        <v>1058</v>
      </c>
      <c r="C46" s="3" t="s">
        <v>47</v>
      </c>
      <c r="D46" s="3">
        <v>11.916666666666666</v>
      </c>
      <c r="E46" s="3">
        <v>22.541580289249531</v>
      </c>
      <c r="F46" s="3">
        <v>540</v>
      </c>
      <c r="G46" s="4">
        <v>24.8</v>
      </c>
      <c r="H46" s="7"/>
      <c r="I46" s="7"/>
      <c r="J46" s="118">
        <f t="shared" si="0"/>
        <v>22.529630335606679</v>
      </c>
      <c r="K46" s="119">
        <f t="shared" si="1"/>
        <v>23.89999997400313</v>
      </c>
      <c r="L46" s="119">
        <f t="shared" si="2"/>
        <v>19.903303088358388</v>
      </c>
      <c r="M46" s="120">
        <f t="shared" si="3"/>
        <v>200.88457832218455</v>
      </c>
      <c r="N46" s="117"/>
      <c r="O46" s="118">
        <f t="shared" si="4"/>
        <v>1.8905983498411201</v>
      </c>
      <c r="P46" s="119">
        <f t="shared" si="5"/>
        <v>2.0055944034128501</v>
      </c>
      <c r="Q46" s="119">
        <f t="shared" si="6"/>
        <v>1.6702072521699347</v>
      </c>
      <c r="R46" s="120">
        <f t="shared" si="7"/>
        <v>16.857447131931572</v>
      </c>
    </row>
    <row r="47" spans="2:18" customFormat="1" x14ac:dyDescent="0.25">
      <c r="B47" s="19" t="s">
        <v>1058</v>
      </c>
      <c r="C47" s="3" t="s">
        <v>48</v>
      </c>
      <c r="D47" s="3">
        <v>13.583333333333334</v>
      </c>
      <c r="E47" s="3">
        <v>24.529077609556403</v>
      </c>
      <c r="F47" s="3">
        <v>240</v>
      </c>
      <c r="G47" s="4">
        <v>28.62</v>
      </c>
      <c r="H47" s="7"/>
      <c r="I47" s="7"/>
      <c r="J47" s="118">
        <f t="shared" si="0"/>
        <v>26.464476095210376</v>
      </c>
      <c r="K47" s="119">
        <f t="shared" si="1"/>
        <v>26.99999995183007</v>
      </c>
      <c r="L47" s="119">
        <f t="shared" si="2"/>
        <v>17.230958321010142</v>
      </c>
      <c r="M47" s="120">
        <f t="shared" si="3"/>
        <v>204.64385803390465</v>
      </c>
      <c r="N47" s="117"/>
      <c r="O47" s="118">
        <f t="shared" si="4"/>
        <v>1.9483049886044448</v>
      </c>
      <c r="P47" s="119">
        <f t="shared" si="5"/>
        <v>1.9877300578034407</v>
      </c>
      <c r="Q47" s="119">
        <f t="shared" si="6"/>
        <v>1.2685368089087221</v>
      </c>
      <c r="R47" s="120">
        <f t="shared" si="7"/>
        <v>15.065805499428562</v>
      </c>
    </row>
    <row r="48" spans="2:18" customFormat="1" x14ac:dyDescent="0.25">
      <c r="B48" s="19" t="s">
        <v>1058</v>
      </c>
      <c r="C48" s="3" t="s">
        <v>49</v>
      </c>
      <c r="D48" s="3">
        <v>13.666666666666666</v>
      </c>
      <c r="E48" s="3">
        <v>27.119354773868171</v>
      </c>
      <c r="F48" s="3">
        <v>280</v>
      </c>
      <c r="G48" s="4">
        <v>32.22</v>
      </c>
      <c r="H48" s="7"/>
      <c r="I48" s="7"/>
      <c r="J48" s="118">
        <f t="shared" si="0"/>
        <v>28.314468353999473</v>
      </c>
      <c r="K48" s="119">
        <f t="shared" si="1"/>
        <v>29.899999945748526</v>
      </c>
      <c r="L48" s="119">
        <f t="shared" si="2"/>
        <v>20.686869628547623</v>
      </c>
      <c r="M48" s="120">
        <f t="shared" si="3"/>
        <v>281.6425701504682</v>
      </c>
      <c r="N48" s="117"/>
      <c r="O48" s="118">
        <f t="shared" si="4"/>
        <v>2.0717903673658151</v>
      </c>
      <c r="P48" s="119">
        <f t="shared" si="5"/>
        <v>2.1878048740791605</v>
      </c>
      <c r="Q48" s="119">
        <f t="shared" si="6"/>
        <v>1.5136733874547041</v>
      </c>
      <c r="R48" s="120">
        <f t="shared" si="7"/>
        <v>20.607992937839139</v>
      </c>
    </row>
    <row r="49" spans="2:18" customFormat="1" x14ac:dyDescent="0.25">
      <c r="B49" s="19" t="s">
        <v>1058</v>
      </c>
      <c r="C49" s="3" t="s">
        <v>50</v>
      </c>
      <c r="D49" s="3">
        <v>9.4166666666666661</v>
      </c>
      <c r="E49" s="3">
        <v>27.615425696307536</v>
      </c>
      <c r="F49" s="3">
        <v>680</v>
      </c>
      <c r="G49" s="4">
        <v>24.83</v>
      </c>
      <c r="J49" s="118">
        <f t="shared" si="0"/>
        <v>23.829559141668234</v>
      </c>
      <c r="K49" s="119">
        <f t="shared" si="1"/>
        <v>27.000000011311368</v>
      </c>
      <c r="L49" s="119">
        <f t="shared" si="2"/>
        <v>26.96254440939423</v>
      </c>
      <c r="M49" s="120">
        <f t="shared" si="3"/>
        <v>324.47529106625461</v>
      </c>
      <c r="N49" s="117"/>
      <c r="O49" s="118">
        <f t="shared" si="4"/>
        <v>2.5305726522125558</v>
      </c>
      <c r="P49" s="119">
        <f t="shared" si="5"/>
        <v>2.8672566383693492</v>
      </c>
      <c r="Q49" s="119">
        <f t="shared" si="6"/>
        <v>2.8632790523250513</v>
      </c>
      <c r="R49" s="120">
        <f t="shared" si="7"/>
        <v>34.45755303358456</v>
      </c>
    </row>
    <row r="50" spans="2:18" customFormat="1" x14ac:dyDescent="0.25">
      <c r="B50" s="19" t="s">
        <v>1059</v>
      </c>
      <c r="C50" s="3"/>
      <c r="D50" s="3">
        <v>11.5833333333333</v>
      </c>
      <c r="E50" s="3">
        <v>14.160241095489404</v>
      </c>
      <c r="F50" s="3">
        <v>200</v>
      </c>
      <c r="G50" s="4">
        <v>21.58</v>
      </c>
      <c r="I50" s="7"/>
      <c r="J50" s="38">
        <f>EXP(3.479904-5.100774/D50+0.005329*13.91-0.000192*F50)</f>
        <v>21.655853773982951</v>
      </c>
      <c r="K50" s="37">
        <f>EXP(LN(13.91)-5.183772*(1/D50-0.1))</f>
        <v>14.931384216882053</v>
      </c>
      <c r="L50" s="37">
        <f>EXP(2.046634-13.359966/D50+0.071356*13.91+0.001672*F50)</f>
        <v>9.2093346017270701</v>
      </c>
      <c r="M50" s="39">
        <f>EXP(5.002828-19.579749/D50+0.028559*13.91+0.001735*F50)</f>
        <v>57.785948861015918</v>
      </c>
      <c r="N50" s="111"/>
      <c r="O50" s="38">
        <f t="shared" si="4"/>
        <v>1.8695701099841451</v>
      </c>
      <c r="P50" s="37">
        <f t="shared" si="5"/>
        <v>1.2890403640473751</v>
      </c>
      <c r="Q50" s="37">
        <f t="shared" si="6"/>
        <v>0.79505046921385003</v>
      </c>
      <c r="R50" s="39">
        <f t="shared" si="7"/>
        <v>4.988715009584122</v>
      </c>
    </row>
    <row r="51" spans="2:18" customFormat="1" x14ac:dyDescent="0.25">
      <c r="B51" s="19" t="s">
        <v>1060</v>
      </c>
      <c r="C51" s="3" t="s">
        <v>51</v>
      </c>
      <c r="D51" s="3">
        <v>8.4166666666666661</v>
      </c>
      <c r="E51" s="3">
        <v>5.5405257553437268</v>
      </c>
      <c r="F51" s="3">
        <v>840</v>
      </c>
      <c r="G51" s="4">
        <v>7.99</v>
      </c>
      <c r="H51" s="7"/>
      <c r="I51" s="7"/>
      <c r="J51" s="38">
        <f>EXP(1.567832 -2.675935/D51 + 0.100498*E51 + 0.000284*F51)</f>
        <v>7.7312525429225349</v>
      </c>
      <c r="K51" s="37">
        <f>EXP(LN(E51) -1.725435 * (1/D51 - 0.1))</f>
        <v>5.3635749429377091</v>
      </c>
      <c r="L51" s="37">
        <f>EXP(-0.421023 -5.328057/D51 + 0.199157*E51 + 0.001581*F51)</f>
        <v>3.9646398259371245</v>
      </c>
      <c r="M51" s="39">
        <f>EXP(-0.96776 -7.358693/D51 + 0.307991*E51 + 0.002469*F51)</f>
        <v>6.9471528203105031</v>
      </c>
      <c r="N51" s="117"/>
      <c r="O51" s="38">
        <f t="shared" si="4"/>
        <v>0.91856465856505376</v>
      </c>
      <c r="P51" s="37">
        <f t="shared" si="5"/>
        <v>0.63725642886388623</v>
      </c>
      <c r="Q51" s="37">
        <f t="shared" si="6"/>
        <v>0.47104631595292573</v>
      </c>
      <c r="R51" s="39">
        <f t="shared" si="7"/>
        <v>0.8254042954824361</v>
      </c>
    </row>
    <row r="52" spans="2:18" customFormat="1" x14ac:dyDescent="0.25">
      <c r="B52" s="19" t="s">
        <v>1060</v>
      </c>
      <c r="C52" s="3" t="s">
        <v>52</v>
      </c>
      <c r="D52" s="3">
        <v>8.4166666666666661</v>
      </c>
      <c r="E52" s="3">
        <v>9.8937959916852307</v>
      </c>
      <c r="F52" s="3">
        <v>1160</v>
      </c>
      <c r="G52" s="4">
        <v>12.66</v>
      </c>
      <c r="H52" s="7"/>
      <c r="I52" s="7"/>
      <c r="J52" s="38">
        <f>EXP(1.567832 -2.675935/D52 + 0.100498*E52 + 0.000284*F52)</f>
        <v>13.113547265899374</v>
      </c>
      <c r="K52" s="37">
        <f>EXP(LN(E52) -1.725435 * (1/D52 - 0.1))</f>
        <v>9.5778123981030543</v>
      </c>
      <c r="L52" s="37">
        <f>EXP(-0.421023 -5.328057/D52 + 0.199157*E52 + 0.001581*F52)</f>
        <v>15.647626639670179</v>
      </c>
      <c r="M52" s="39">
        <f>EXP(-0.96776 -7.358693/D52 + 0.307991*E52 + 0.002469*F52)</f>
        <v>58.508963390973037</v>
      </c>
      <c r="N52" s="117"/>
      <c r="O52" s="38">
        <f t="shared" si="4"/>
        <v>1.5580452197108168</v>
      </c>
      <c r="P52" s="37">
        <f t="shared" si="5"/>
        <v>1.1379579086855114</v>
      </c>
      <c r="Q52" s="37">
        <f t="shared" si="6"/>
        <v>1.8591239571885363</v>
      </c>
      <c r="R52" s="39">
        <f t="shared" si="7"/>
        <v>6.9515600068482817</v>
      </c>
    </row>
    <row r="53" spans="2:18" customFormat="1" x14ac:dyDescent="0.25">
      <c r="B53" s="19" t="s">
        <v>1060</v>
      </c>
      <c r="C53" s="3" t="s">
        <v>53</v>
      </c>
      <c r="D53" s="3">
        <v>8.4166666666666661</v>
      </c>
      <c r="E53" s="3">
        <v>6.0352155549279871</v>
      </c>
      <c r="F53" s="3">
        <v>1120</v>
      </c>
      <c r="G53" s="4">
        <v>9.14</v>
      </c>
      <c r="H53" s="7"/>
      <c r="I53" s="7"/>
      <c r="J53" s="38">
        <f>EXP(1.567832 -2.675935/D53 + 0.100498*E53 + 0.000284*F53)</f>
        <v>8.7978398657644483</v>
      </c>
      <c r="K53" s="37">
        <f>EXP(LN(E53) -1.725435 * (1/D53 - 0.1))</f>
        <v>5.842465562842861</v>
      </c>
      <c r="L53" s="37">
        <f>EXP(-0.421023 -5.328057/D53 + 0.199157*E53 + 0.001581*F53)</f>
        <v>6.8115244451638501</v>
      </c>
      <c r="M53" s="39">
        <f>EXP(-0.96776 -7.358693/D53 + 0.307991*E53 + 0.002469*F53)</f>
        <v>16.151483702326875</v>
      </c>
      <c r="N53" s="117"/>
      <c r="O53" s="38">
        <f t="shared" si="4"/>
        <v>1.0452879048433008</v>
      </c>
      <c r="P53" s="37">
        <f t="shared" si="5"/>
        <v>0.69415432429816171</v>
      </c>
      <c r="Q53" s="37">
        <f t="shared" si="6"/>
        <v>0.80929003308877434</v>
      </c>
      <c r="R53" s="39">
        <f t="shared" si="7"/>
        <v>1.9189881626526981</v>
      </c>
    </row>
    <row r="54" spans="2:18" customFormat="1" x14ac:dyDescent="0.25">
      <c r="B54" s="19" t="s">
        <v>1060</v>
      </c>
      <c r="C54" s="3" t="s">
        <v>54</v>
      </c>
      <c r="D54" s="3">
        <v>8.4166666666666661</v>
      </c>
      <c r="E54" s="3">
        <v>6.1737286988115807</v>
      </c>
      <c r="F54" s="3">
        <v>940</v>
      </c>
      <c r="G54" s="4">
        <v>8.57</v>
      </c>
      <c r="H54" s="7"/>
      <c r="I54" s="7"/>
      <c r="J54" s="38">
        <f>EXP(1.567832 -2.675935/D54 + 0.100498*E54 + 0.000284*F54)</f>
        <v>8.4765753287029728</v>
      </c>
      <c r="K54" s="37">
        <f>EXP(LN(E54) -1.725435 * (1/D54 - 0.1))</f>
        <v>5.9765549364163046</v>
      </c>
      <c r="L54" s="37">
        <f>EXP(-0.421023 -5.328057/D54 + 0.199157*E54 + 0.001581*F54)</f>
        <v>5.2678473742415868</v>
      </c>
      <c r="M54" s="39">
        <f>EXP(-0.96776 -7.358693/D54 + 0.307991*E54 + 0.002469*F54)</f>
        <v>10.807633794437928</v>
      </c>
      <c r="N54" s="117"/>
      <c r="O54" s="38">
        <f t="shared" si="4"/>
        <v>1.0071178608359967</v>
      </c>
      <c r="P54" s="37">
        <f t="shared" si="5"/>
        <v>0.71008573501975902</v>
      </c>
      <c r="Q54" s="37">
        <f t="shared" si="6"/>
        <v>0.62588285634553509</v>
      </c>
      <c r="R54" s="39">
        <f t="shared" si="7"/>
        <v>1.2840753023094569</v>
      </c>
    </row>
    <row r="55" spans="2:18" customFormat="1" x14ac:dyDescent="0.25">
      <c r="B55" s="19" t="s">
        <v>1061</v>
      </c>
      <c r="C55" s="3" t="s">
        <v>56</v>
      </c>
      <c r="D55" s="3">
        <v>6.166666666666667</v>
      </c>
      <c r="E55" s="3">
        <v>7.8640589137785302</v>
      </c>
      <c r="F55" s="3">
        <v>1420</v>
      </c>
      <c r="G55" s="4">
        <v>5.87</v>
      </c>
      <c r="H55" s="7"/>
      <c r="I55" s="7"/>
      <c r="J55" s="38">
        <f>EXP(1.983661 -2.330208/D55 + 0.095564*E55 -0.000385*F55)</f>
        <v>6.1141781339856962</v>
      </c>
      <c r="K55" s="37">
        <f>EXP(LN(E55) -1.872405 * (1/D55 - 0.1))</f>
        <v>6.9999998746818655</v>
      </c>
      <c r="L55" s="37">
        <f>EXP(0.83226 -4.71375/D55 + 0.189626*E55 -0.000097*F55)</f>
        <v>4.1427430615810819</v>
      </c>
      <c r="M55" s="39">
        <f>EXP(1.278762 -7.15454/D55 + 0.35243*E55 -0.000352*F55)</f>
        <v>10.916294784678696</v>
      </c>
      <c r="N55" s="117"/>
      <c r="O55" s="38">
        <f t="shared" si="4"/>
        <v>0.99148834605173453</v>
      </c>
      <c r="P55" s="37">
        <f t="shared" si="5"/>
        <v>1.1351351148132753</v>
      </c>
      <c r="Q55" s="37">
        <f t="shared" si="6"/>
        <v>0.67179617214828347</v>
      </c>
      <c r="R55" s="39">
        <f t="shared" si="7"/>
        <v>1.7702099650830316</v>
      </c>
    </row>
    <row r="56" spans="2:18" customFormat="1" x14ac:dyDescent="0.25">
      <c r="B56" s="19" t="s">
        <v>1061</v>
      </c>
      <c r="C56" s="3" t="s">
        <v>57</v>
      </c>
      <c r="D56" s="3">
        <v>14.75</v>
      </c>
      <c r="E56" s="3">
        <v>8.9064399432482269</v>
      </c>
      <c r="F56" s="3">
        <v>1380</v>
      </c>
      <c r="G56" s="4">
        <v>8.4499999999999993</v>
      </c>
      <c r="H56" s="7"/>
      <c r="I56" s="7"/>
      <c r="J56" s="38">
        <f>EXP(1.983661 -2.330208/D56 + 0.095564*E56 -0.000385*F56)</f>
        <v>8.5464485581949159</v>
      </c>
      <c r="K56" s="37">
        <f>EXP(LN(E56) -1.872405 * (1/D56 - 0.1))</f>
        <v>9.4600000877369421</v>
      </c>
      <c r="L56" s="37">
        <f>EXP(0.83226 -4.71375/D56 + 0.189626*E56 -0.000097*F56)</f>
        <v>7.9067459237319806</v>
      </c>
      <c r="M56" s="39">
        <f>EXP(1.278762 -7.15454/D56 + 0.35243*E56 -0.000352*F56)</f>
        <v>31.401167378329422</v>
      </c>
      <c r="N56" s="117"/>
      <c r="O56" s="38">
        <f t="shared" si="4"/>
        <v>0.57942024123355362</v>
      </c>
      <c r="P56" s="37">
        <f t="shared" si="5"/>
        <v>0.64135593815165715</v>
      </c>
      <c r="Q56" s="37">
        <f t="shared" si="6"/>
        <v>0.53605057110047327</v>
      </c>
      <c r="R56" s="39">
        <f t="shared" si="7"/>
        <v>2.1288927036155538</v>
      </c>
    </row>
    <row r="57" spans="2:18" customFormat="1" x14ac:dyDescent="0.25">
      <c r="B57" s="19" t="s">
        <v>1061</v>
      </c>
      <c r="C57" s="3" t="s">
        <v>58</v>
      </c>
      <c r="D57" s="3">
        <v>14.75</v>
      </c>
      <c r="E57" s="3">
        <v>7.983785488239425</v>
      </c>
      <c r="F57" s="3">
        <v>1480</v>
      </c>
      <c r="G57" s="4">
        <v>7.23</v>
      </c>
      <c r="H57" s="7"/>
      <c r="I57" s="7"/>
      <c r="J57" s="38">
        <f>EXP(1.983661 -2.330208/D57 + 0.095564*E57 -0.000385*F57)</f>
        <v>7.5296101909995539</v>
      </c>
      <c r="K57" s="37">
        <f>EXP(LN(E57) -1.872405 * (1/D57 - 0.1))</f>
        <v>8.4800000786479135</v>
      </c>
      <c r="L57" s="37">
        <f>EXP(0.83226 -4.71375/D57 + 0.189626*E57 -0.000097*F57)</f>
        <v>6.5735698152261799</v>
      </c>
      <c r="M57" s="39">
        <f>EXP(1.278762 -7.15454/D57 + 0.35243*E57 -0.000352*F57)</f>
        <v>21.899722385878121</v>
      </c>
      <c r="N57" s="117"/>
      <c r="O57" s="38">
        <f t="shared" si="4"/>
        <v>0.51048204684742737</v>
      </c>
      <c r="P57" s="37">
        <f t="shared" si="5"/>
        <v>0.57491525956935008</v>
      </c>
      <c r="Q57" s="37">
        <f t="shared" si="6"/>
        <v>0.44566575018482574</v>
      </c>
      <c r="R57" s="39">
        <f t="shared" si="7"/>
        <v>1.4847269414154658</v>
      </c>
    </row>
    <row r="58" spans="2:18" customFormat="1" x14ac:dyDescent="0.25">
      <c r="B58" s="19" t="s">
        <v>1061</v>
      </c>
      <c r="C58" s="3" t="s">
        <v>59</v>
      </c>
      <c r="D58" s="3">
        <v>14.75</v>
      </c>
      <c r="E58" s="3">
        <v>8.5675056536531553</v>
      </c>
      <c r="F58" s="3">
        <v>1280</v>
      </c>
      <c r="G58" s="4">
        <v>8.94</v>
      </c>
      <c r="H58" s="7"/>
      <c r="I58" s="7"/>
      <c r="J58" s="38">
        <f>EXP(1.983661 -2.330208/D58 + 0.095564*E58 -0.000385*F58)</f>
        <v>8.5988279311493656</v>
      </c>
      <c r="K58" s="37">
        <f>EXP(LN(E58) -1.872405 * (1/D58 - 0.1))</f>
        <v>9.1000000843981148</v>
      </c>
      <c r="L58" s="37">
        <f>EXP(0.83226 -4.71375/D58 + 0.189626*E58 -0.000097*F58)</f>
        <v>7.4868305909070996</v>
      </c>
      <c r="M58" s="39">
        <f>EXP(1.278762 -7.15454/D58 + 0.35243*E58 -0.000352*F58)</f>
        <v>28.863980208387286</v>
      </c>
      <c r="N58" s="117"/>
      <c r="O58" s="38">
        <f t="shared" si="4"/>
        <v>0.58297138516266889</v>
      </c>
      <c r="P58" s="37">
        <f t="shared" si="5"/>
        <v>0.61694915826427899</v>
      </c>
      <c r="Q58" s="37">
        <f t="shared" si="6"/>
        <v>0.50758173497675252</v>
      </c>
      <c r="R58" s="39">
        <f t="shared" si="7"/>
        <v>1.9568800141279517</v>
      </c>
    </row>
    <row r="59" spans="2:18" customFormat="1" x14ac:dyDescent="0.25">
      <c r="B59" s="19" t="s">
        <v>1061</v>
      </c>
      <c r="C59" s="3" t="s">
        <v>60</v>
      </c>
      <c r="D59" s="3">
        <v>10.416666666666666</v>
      </c>
      <c r="E59" s="3">
        <v>8.1785160736874456</v>
      </c>
      <c r="F59" s="3">
        <v>1280</v>
      </c>
      <c r="G59" s="4">
        <v>7.63</v>
      </c>
      <c r="H59" s="7"/>
      <c r="I59" s="7"/>
      <c r="J59" s="38">
        <f>EXP(1.983661 -2.330208/D59 + 0.095564*E59 -0.000385*F59)</f>
        <v>7.7580634067662055</v>
      </c>
      <c r="K59" s="37">
        <f>EXP(LN(E59) -1.872405 * (1/D59 - 0.1))</f>
        <v>8.2400000094924195</v>
      </c>
      <c r="L59" s="37">
        <f>EXP(0.83226 -4.71375/D59 + 0.189626*E59 -0.000097*F59)</f>
        <v>6.0887285849932775</v>
      </c>
      <c r="M59" s="39">
        <f>EXP(1.278762 -7.15454/D59 + 0.35243*E59 -0.000352*F59)</f>
        <v>20.567673174733507</v>
      </c>
      <c r="N59" s="117"/>
      <c r="O59" s="38">
        <f t="shared" si="4"/>
        <v>0.74477408704955572</v>
      </c>
      <c r="P59" s="37">
        <f t="shared" si="5"/>
        <v>0.79104000091127236</v>
      </c>
      <c r="Q59" s="37">
        <f t="shared" si="6"/>
        <v>0.58451794415935465</v>
      </c>
      <c r="R59" s="39">
        <f t="shared" si="7"/>
        <v>1.9744966247744167</v>
      </c>
    </row>
    <row r="60" spans="2:18" customFormat="1" x14ac:dyDescent="0.25">
      <c r="B60" s="19" t="s">
        <v>1191</v>
      </c>
      <c r="C60" s="3" t="s">
        <v>61</v>
      </c>
      <c r="D60" s="3">
        <v>9.5</v>
      </c>
      <c r="E60" s="3">
        <v>11.34825859679261</v>
      </c>
      <c r="F60" s="3">
        <v>1180</v>
      </c>
      <c r="G60" s="4">
        <v>9.39</v>
      </c>
      <c r="H60" s="7"/>
      <c r="I60" s="7"/>
      <c r="J60" s="38">
        <f>EXP(3.861522 -7.008542/D60+ 0.027548*E60 -0.001144*F60)</f>
        <v>8.056526954153961</v>
      </c>
      <c r="K60" s="37">
        <f>EXP(LN(E60) -7.657288 * (1/D60 - 0.1))</f>
        <v>10.899999994945208</v>
      </c>
      <c r="L60" s="37">
        <f>EXP(4.181024 -13.83883/D60 + 0.051651*E60 -0.001286*F60)</f>
        <v>6.00729135585531</v>
      </c>
      <c r="M60" s="39">
        <f>EXP(6.72825 -21.067206/D60 + 0.087027*E60 -0.002144*F60)</f>
        <v>19.459478334331788</v>
      </c>
      <c r="N60" s="117"/>
      <c r="O60" s="38">
        <f t="shared" si="4"/>
        <v>0.84805546885831173</v>
      </c>
      <c r="P60" s="37">
        <f t="shared" si="5"/>
        <v>1.1473684205205483</v>
      </c>
      <c r="Q60" s="37">
        <f t="shared" si="6"/>
        <v>0.63234645851108529</v>
      </c>
      <c r="R60" s="39">
        <f t="shared" si="7"/>
        <v>2.0483661404559776</v>
      </c>
    </row>
    <row r="61" spans="2:18" customFormat="1" x14ac:dyDescent="0.25">
      <c r="B61" s="19" t="s">
        <v>1191</v>
      </c>
      <c r="C61" s="3" t="s">
        <v>62</v>
      </c>
      <c r="D61" s="3">
        <v>13.416666666666666</v>
      </c>
      <c r="E61" s="3">
        <v>12.095678455870443</v>
      </c>
      <c r="F61" s="3">
        <v>760</v>
      </c>
      <c r="G61" s="4">
        <v>16.309999999999999</v>
      </c>
      <c r="H61" s="7"/>
      <c r="I61" s="7"/>
      <c r="J61" s="38">
        <f>EXP(3.861522 -7.008542/D61+ 0.027548*E61 -0.001144*F61)</f>
        <v>16.492701485900859</v>
      </c>
      <c r="K61" s="37">
        <f>EXP(LN(E61) -7.657288 * (1/D61 - 0.1))</f>
        <v>14.700000032984176</v>
      </c>
      <c r="L61" s="37">
        <f>EXP(4.181024 -13.83883/D61 + 0.051651*E61 -0.001286*F61)</f>
        <v>16.394604681401468</v>
      </c>
      <c r="M61" s="39">
        <f>EXP(6.72825 -21.067206/D61 + 0.087027*E61 -0.002144*F61)</f>
        <v>97.634808550165459</v>
      </c>
      <c r="N61" s="117"/>
      <c r="O61" s="38">
        <f t="shared" si="4"/>
        <v>1.2292696759677659</v>
      </c>
      <c r="P61" s="37">
        <f t="shared" si="5"/>
        <v>1.0956521763714915</v>
      </c>
      <c r="Q61" s="37">
        <f t="shared" si="6"/>
        <v>1.2219581128994883</v>
      </c>
      <c r="R61" s="39">
        <f t="shared" si="7"/>
        <v>7.2771285875899725</v>
      </c>
    </row>
    <row r="62" spans="2:18" customFormat="1" x14ac:dyDescent="0.25">
      <c r="B62" s="19" t="s">
        <v>1191</v>
      </c>
      <c r="C62" s="3" t="s">
        <v>63</v>
      </c>
      <c r="D62" s="3">
        <v>13.416666666666666</v>
      </c>
      <c r="E62" s="3">
        <v>10.943709079120879</v>
      </c>
      <c r="F62" s="3">
        <v>880</v>
      </c>
      <c r="G62" s="4">
        <v>13.84</v>
      </c>
      <c r="H62" s="7"/>
      <c r="I62" s="7"/>
      <c r="J62" s="38">
        <f>EXP(3.861522 -7.008542/D62+ 0.027548*E62 -0.001144*F62)</f>
        <v>13.928031950917365</v>
      </c>
      <c r="K62" s="37">
        <f>EXP(LN(E62) -7.657288 * (1/D62 - 0.1))</f>
        <v>13.300000029842829</v>
      </c>
      <c r="L62" s="37">
        <f>EXP(4.181024 -13.83883/D62 + 0.051651*E62 -0.001286*F62)</f>
        <v>13.238535433477811</v>
      </c>
      <c r="M62" s="39">
        <f>EXP(6.72825 -21.067206/D62 + 0.087027*E62 -0.002144*F62)</f>
        <v>68.285786151755971</v>
      </c>
      <c r="N62" s="117"/>
      <c r="O62" s="38">
        <f t="shared" si="4"/>
        <v>1.0381141826770708</v>
      </c>
      <c r="P62" s="37">
        <f t="shared" si="5"/>
        <v>0.9913043500503973</v>
      </c>
      <c r="Q62" s="37">
        <f t="shared" si="6"/>
        <v>0.98672313789896726</v>
      </c>
      <c r="R62" s="39">
        <f t="shared" si="7"/>
        <v>5.0896238125532403</v>
      </c>
    </row>
    <row r="63" spans="2:18" customFormat="1" x14ac:dyDescent="0.25">
      <c r="B63" s="19" t="s">
        <v>1192</v>
      </c>
      <c r="C63" s="3" t="s">
        <v>64</v>
      </c>
      <c r="D63" s="3">
        <v>12.5</v>
      </c>
      <c r="E63" s="3">
        <v>10.635902188410562</v>
      </c>
      <c r="F63" s="3">
        <v>540</v>
      </c>
      <c r="G63" s="4">
        <v>12.25</v>
      </c>
      <c r="H63" s="7"/>
      <c r="I63" s="7"/>
      <c r="J63" s="38">
        <f>EXP(1.49521 -1.851407/D63 + 0.116224*E63 -0.000438*F63)</f>
        <v>10.451280804725371</v>
      </c>
      <c r="K63" s="37">
        <f>EXP(LN(E63) -6.116833 * (1/D63 - 0.1))</f>
        <v>12.020000095626592</v>
      </c>
      <c r="L63" s="37">
        <f>EXP(-0.306671 -4.378177/D63 + 0.225725*E63 -0.000003*F63)</f>
        <v>5.7101418256624381</v>
      </c>
      <c r="M63" s="39">
        <f>EXP(0.584018 -9.960148/D63 + 0.294692*E63 + 0.000274*F63)</f>
        <v>21.530734967746888</v>
      </c>
      <c r="N63" s="117"/>
      <c r="O63" s="38">
        <f t="shared" si="4"/>
        <v>0.83610246437802971</v>
      </c>
      <c r="P63" s="37">
        <f t="shared" si="5"/>
        <v>0.96160000765012743</v>
      </c>
      <c r="Q63" s="37">
        <f t="shared" si="6"/>
        <v>0.45681134605299506</v>
      </c>
      <c r="R63" s="39">
        <f t="shared" si="7"/>
        <v>1.7224587974197509</v>
      </c>
    </row>
    <row r="64" spans="2:18" customFormat="1" x14ac:dyDescent="0.25">
      <c r="B64" s="19" t="s">
        <v>1064</v>
      </c>
      <c r="C64" s="3" t="s">
        <v>65</v>
      </c>
      <c r="D64" s="3">
        <v>14.75</v>
      </c>
      <c r="E64" s="3">
        <v>9.2139178922337273</v>
      </c>
      <c r="F64" s="3">
        <v>960</v>
      </c>
      <c r="G64" s="4">
        <v>7.72</v>
      </c>
      <c r="H64" s="7"/>
      <c r="I64" s="7"/>
      <c r="J64" s="38">
        <f>EXP(1.49521 -1.851407/D64 + 0.116224*E64 -0.000438*F64)</f>
        <v>7.538997943612431</v>
      </c>
      <c r="K64" s="37">
        <f>EXP(LN(E64) -6.116833 * (1/D64 - 0.1))</f>
        <v>11.220000143727098</v>
      </c>
      <c r="L64" s="37">
        <f>EXP(-0.306671 -4.378177/D64 + 0.225725*E64 -0.000003*F64)</f>
        <v>4.3642007003124625</v>
      </c>
      <c r="M64" s="39">
        <f>EXP(0.584018 -9.960148/D64 + 0.294692*E64 + 0.000274*F64)</f>
        <v>17.940516027859452</v>
      </c>
      <c r="N64" s="117"/>
      <c r="O64" s="38">
        <f t="shared" si="4"/>
        <v>0.51111850465169029</v>
      </c>
      <c r="P64" s="37">
        <f t="shared" si="5"/>
        <v>0.76067797584590502</v>
      </c>
      <c r="Q64" s="37">
        <f t="shared" si="6"/>
        <v>0.29587801358050592</v>
      </c>
      <c r="R64" s="39">
        <f t="shared" si="7"/>
        <v>1.2163061713803018</v>
      </c>
    </row>
    <row r="65" spans="2:18" customFormat="1" x14ac:dyDescent="0.25">
      <c r="B65" s="19" t="s">
        <v>1064</v>
      </c>
      <c r="C65" s="3" t="s">
        <v>66</v>
      </c>
      <c r="D65" s="3">
        <v>14.75</v>
      </c>
      <c r="E65" s="3">
        <v>10.609966057723685</v>
      </c>
      <c r="F65" s="3">
        <v>1100</v>
      </c>
      <c r="G65" s="4">
        <v>9.33</v>
      </c>
      <c r="H65" s="7"/>
      <c r="I65" s="7"/>
      <c r="J65" s="38">
        <f>EXP(1.49521 -1.851407/D65 + 0.116224*E65 -0.000438*F65)</f>
        <v>8.3396694096041379</v>
      </c>
      <c r="K65" s="37">
        <f>EXP(LN(E65) -6.116833 * (1/D65 - 0.1))</f>
        <v>12.92000016550393</v>
      </c>
      <c r="L65" s="37">
        <f>EXP(-0.306671 -4.378177/D65 + 0.225725*E65 -0.000003*F65)</f>
        <v>5.9783106560126633</v>
      </c>
      <c r="M65" s="39">
        <f>EXP(0.584018 -9.960148/D65 + 0.294692*E65 + 0.000274*F65)</f>
        <v>28.129696866972669</v>
      </c>
      <c r="N65" s="117"/>
      <c r="O65" s="38">
        <f t="shared" si="4"/>
        <v>0.56540131590536524</v>
      </c>
      <c r="P65" s="37">
        <f t="shared" si="5"/>
        <v>0.87593221461043591</v>
      </c>
      <c r="Q65" s="37">
        <f t="shared" si="6"/>
        <v>0.40530919701780771</v>
      </c>
      <c r="R65" s="39">
        <f t="shared" si="7"/>
        <v>1.9070980926761132</v>
      </c>
    </row>
    <row r="66" spans="2:18" customFormat="1" x14ac:dyDescent="0.25">
      <c r="B66" s="19" t="s">
        <v>1064</v>
      </c>
      <c r="C66" s="3" t="s">
        <v>67</v>
      </c>
      <c r="D66" s="3">
        <v>10.333333333333334</v>
      </c>
      <c r="E66" s="3">
        <v>9.8438352488782215</v>
      </c>
      <c r="F66" s="3">
        <v>1040</v>
      </c>
      <c r="G66" s="4">
        <v>6.7</v>
      </c>
      <c r="H66" s="7"/>
      <c r="I66" s="7"/>
      <c r="J66" s="38">
        <f>EXP(1.49521 -1.851407/D66 + 0.116224*E66 -0.000438*F66)</f>
        <v>7.423209335080359</v>
      </c>
      <c r="K66" s="37">
        <f>EXP(LN(E66) -6.116833 * (1/D66 - 0.1))</f>
        <v>10.040000012882976</v>
      </c>
      <c r="L66" s="37">
        <f>EXP(-0.306671 -4.378177/D66 + 0.225725*E66 -0.000003*F66)</f>
        <v>4.4305076145328632</v>
      </c>
      <c r="M66" s="39">
        <f>EXP(0.584018 -9.960148/D66 + 0.294692*E66 + 0.000274*F66)</f>
        <v>16.543482321752165</v>
      </c>
      <c r="N66" s="117"/>
      <c r="O66" s="38">
        <f t="shared" si="4"/>
        <v>0.71837509694326052</v>
      </c>
      <c r="P66" s="37">
        <f t="shared" si="5"/>
        <v>0.971612904472546</v>
      </c>
      <c r="Q66" s="37">
        <f t="shared" si="6"/>
        <v>0.4287588014064061</v>
      </c>
      <c r="R66" s="39">
        <f t="shared" si="7"/>
        <v>1.6009821601695644</v>
      </c>
    </row>
    <row r="67" spans="2:18" customFormat="1" x14ac:dyDescent="0.25">
      <c r="B67" s="19" t="s">
        <v>1064</v>
      </c>
      <c r="C67" s="3" t="s">
        <v>68</v>
      </c>
      <c r="D67" s="3">
        <v>10.333333333333334</v>
      </c>
      <c r="E67" s="3">
        <v>10.981170795561363</v>
      </c>
      <c r="F67" s="3">
        <v>1120</v>
      </c>
      <c r="G67" s="4">
        <v>8.2200000000000006</v>
      </c>
      <c r="H67" s="7"/>
      <c r="I67" s="7"/>
      <c r="J67" s="38">
        <f>EXP(1.49521 -1.851407/D67 + 0.116224*E67 -0.000438*F67)</f>
        <v>8.1805319183076186</v>
      </c>
      <c r="K67" s="37">
        <f>EXP(LN(E67) -6.116833 * (1/D67 - 0.1))</f>
        <v>11.200000014371447</v>
      </c>
      <c r="L67" s="37">
        <f>EXP(-0.306671 -4.378177/D67 + 0.225725*E67 -0.000003*F67)</f>
        <v>5.7258970632780448</v>
      </c>
      <c r="M67" s="39">
        <f>EXP(0.584018 -9.960148/D67 + 0.294692*E67 + 0.000274*F67)</f>
        <v>23.643208194634202</v>
      </c>
      <c r="N67" s="117"/>
      <c r="O67" s="38">
        <f t="shared" si="4"/>
        <v>0.79166437919105981</v>
      </c>
      <c r="P67" s="37">
        <f t="shared" si="5"/>
        <v>1.0838709691327206</v>
      </c>
      <c r="Q67" s="37">
        <f t="shared" si="6"/>
        <v>0.55411907063981081</v>
      </c>
      <c r="R67" s="39">
        <f t="shared" si="7"/>
        <v>2.2880524059323419</v>
      </c>
    </row>
    <row r="68" spans="2:18" customFormat="1" x14ac:dyDescent="0.25">
      <c r="B68" s="19" t="s">
        <v>1064</v>
      </c>
      <c r="C68" s="3"/>
      <c r="D68" s="3">
        <v>14.416666666666666</v>
      </c>
      <c r="E68" s="3">
        <v>7.1229941145488</v>
      </c>
      <c r="F68" s="3">
        <v>260</v>
      </c>
      <c r="G68" s="4">
        <v>13.42</v>
      </c>
      <c r="H68" s="7"/>
      <c r="I68" s="7"/>
      <c r="J68" s="38">
        <f>EXP(2.334384-4.530798/D68+0.145447*E68-0.001743*F68)</f>
        <v>13.503475803054975</v>
      </c>
      <c r="K68" s="37">
        <f>EXP(LN(E68) -4.034014 * (1/D68- 0.1))</f>
        <v>8.060000017870367</v>
      </c>
      <c r="L68" s="37">
        <f>EXP(-0.173934 -9.532625/D68+ 0.302835*E68 -0.000013*F68)</f>
        <v>3.7380174575975471</v>
      </c>
      <c r="M68" s="39">
        <f>EXP(0.988436 -11.063187/D68 + 0.417214*E68 -0.002467*F68)</f>
        <v>12.825561513991245</v>
      </c>
      <c r="N68" s="117"/>
      <c r="O68" s="38">
        <f t="shared" si="4"/>
        <v>0.93665728113676128</v>
      </c>
      <c r="P68" s="37">
        <f t="shared" si="5"/>
        <v>0.55907514574823358</v>
      </c>
      <c r="Q68" s="37">
        <f t="shared" si="6"/>
        <v>0.25928444792584143</v>
      </c>
      <c r="R68" s="39">
        <f t="shared" si="7"/>
        <v>0.88963432466991299</v>
      </c>
    </row>
    <row r="69" spans="2:18" customFormat="1" x14ac:dyDescent="0.25">
      <c r="B69" s="19" t="s">
        <v>1066</v>
      </c>
      <c r="C69" s="3" t="s">
        <v>134</v>
      </c>
      <c r="D69" s="3">
        <v>13.5</v>
      </c>
      <c r="E69" s="3">
        <v>9.4910718427536622</v>
      </c>
      <c r="F69" s="3">
        <v>980</v>
      </c>
      <c r="G69" s="4">
        <v>15.27</v>
      </c>
      <c r="H69" s="7"/>
      <c r="I69" s="7"/>
      <c r="J69" s="38">
        <f>EXP(2.274322 -6.302477/D69+ 0.086746*E69+ 0.000159*F69)</f>
        <v>16.225829237671171</v>
      </c>
      <c r="K69" s="37">
        <f>EXP(LN(E69) -4.624413 * (1/D69- 0.1))</f>
        <v>10.699999979745169</v>
      </c>
      <c r="L69" s="37">
        <f>EXP(1.102299 -12.647657/D69+ 0.170789*E69+ 0.001247*F69)</f>
        <v>20.256306708724424</v>
      </c>
      <c r="M69" s="39">
        <f>EXP(2.049391 -18.839421/D69+ 0.264324*E69+ 0.001348*F69)</f>
        <v>88.556113957066657</v>
      </c>
      <c r="N69" s="117"/>
      <c r="O69" s="38">
        <f t="shared" si="4"/>
        <v>1.2019132768645311</v>
      </c>
      <c r="P69" s="37">
        <f t="shared" si="5"/>
        <v>0.79259259109223468</v>
      </c>
      <c r="Q69" s="37">
        <f t="shared" si="6"/>
        <v>1.5004671636092166</v>
      </c>
      <c r="R69" s="39">
        <f t="shared" si="7"/>
        <v>6.5597121449679001</v>
      </c>
    </row>
    <row r="70" spans="2:18" customFormat="1" x14ac:dyDescent="0.25">
      <c r="B70" s="19" t="s">
        <v>1066</v>
      </c>
      <c r="C70" s="3" t="s">
        <v>135</v>
      </c>
      <c r="D70" s="3">
        <v>13.416666666666666</v>
      </c>
      <c r="E70" s="3">
        <v>8.8890531494165099</v>
      </c>
      <c r="F70" s="3">
        <v>1080</v>
      </c>
      <c r="G70" s="4">
        <v>15.37</v>
      </c>
      <c r="H70" s="7"/>
      <c r="I70" s="7"/>
      <c r="J70" s="38">
        <f>EXP(2.274322 -6.302477/D70+ 0.086746*E70+ 0.000159*F70)</f>
        <v>15.601732503254798</v>
      </c>
      <c r="K70" s="37">
        <f>EXP(LN(E70) -4.624413 * (1/D70- 0.1))</f>
        <v>9.9999999814061873</v>
      </c>
      <c r="L70" s="37">
        <f>EXP(1.102299 -12.647657/D70+ 0.170789*E70+ 0.001247*F70)</f>
        <v>20.584306992877952</v>
      </c>
      <c r="M70" s="39">
        <f>EXP(2.049391 -18.839421/D70+ 0.264324*E70+ 0.001348*F70)</f>
        <v>85.681817405335764</v>
      </c>
      <c r="N70" s="117"/>
      <c r="O70" s="38">
        <f t="shared" ref="O70:O133" si="17">J70/D70</f>
        <v>1.1628620499320348</v>
      </c>
      <c r="P70" s="37">
        <f t="shared" ref="P70:P133" si="18">K70/D70</f>
        <v>0.74534161352095807</v>
      </c>
      <c r="Q70" s="37">
        <f t="shared" ref="Q70:Q133" si="19">L70/D70</f>
        <v>1.5342340615809655</v>
      </c>
      <c r="R70" s="39">
        <f t="shared" ref="R70:R133" si="20">M70/D70</f>
        <v>6.3862224153045295</v>
      </c>
    </row>
    <row r="71" spans="2:18" customFormat="1" x14ac:dyDescent="0.25">
      <c r="B71" s="19" t="s">
        <v>1067</v>
      </c>
      <c r="C71" s="3" t="s">
        <v>136</v>
      </c>
      <c r="D71" s="3">
        <v>4.833333333333333</v>
      </c>
      <c r="E71" s="3">
        <v>13.556765109964671</v>
      </c>
      <c r="F71" s="3">
        <v>760</v>
      </c>
      <c r="G71" s="4">
        <v>8.26</v>
      </c>
      <c r="H71" s="7"/>
      <c r="I71" s="7"/>
      <c r="J71" s="38">
        <f t="shared" ref="J71:J102" si="21">EXP(2.476769 -3.669808/D71+ 0.048356*E71-0.000258*F71)</f>
        <v>8.8195364589923138</v>
      </c>
      <c r="K71" s="37">
        <f t="shared" ref="K71:K102" si="22">EXP(LN(E71) -4.589766 * (1/D71- 0.1))</f>
        <v>8.300000161158696</v>
      </c>
      <c r="L71" s="37">
        <f t="shared" ref="L71:L102" si="23">EXP(0.780617 -7.094758/D71+ 0.092946*E71+ 0.001186*F71)</f>
        <v>4.3672919432281923</v>
      </c>
      <c r="M71" s="39">
        <f t="shared" ref="M71:M102" si="24">EXP(1.918322 -11.678936/D71+ 0.160806*E71+ 0.001068*F71)</f>
        <v>12.105738350965849</v>
      </c>
      <c r="N71" s="117"/>
      <c r="O71" s="38">
        <f t="shared" si="17"/>
        <v>1.8247316811708236</v>
      </c>
      <c r="P71" s="37">
        <f t="shared" si="18"/>
        <v>1.7172414126535234</v>
      </c>
      <c r="Q71" s="37">
        <f t="shared" si="19"/>
        <v>0.90357764342652258</v>
      </c>
      <c r="R71" s="39">
        <f t="shared" si="20"/>
        <v>2.5046355208894862</v>
      </c>
    </row>
    <row r="72" spans="2:18" customFormat="1" x14ac:dyDescent="0.25">
      <c r="B72" s="19" t="s">
        <v>1067</v>
      </c>
      <c r="C72" s="3" t="s">
        <v>137</v>
      </c>
      <c r="D72" s="3">
        <v>4.833333333333333</v>
      </c>
      <c r="E72" s="3">
        <v>20.253480405248421</v>
      </c>
      <c r="F72" s="3">
        <v>580</v>
      </c>
      <c r="G72" s="4">
        <v>15.23</v>
      </c>
      <c r="H72" s="7"/>
      <c r="I72" s="7"/>
      <c r="J72" s="38">
        <f t="shared" si="21"/>
        <v>12.77174970872557</v>
      </c>
      <c r="K72" s="37">
        <f t="shared" si="22"/>
        <v>12.400000240767206</v>
      </c>
      <c r="L72" s="37">
        <f t="shared" si="23"/>
        <v>6.5738261133399654</v>
      </c>
      <c r="M72" s="39">
        <f t="shared" si="24"/>
        <v>29.321222869493425</v>
      </c>
      <c r="N72" s="117"/>
      <c r="O72" s="38">
        <f t="shared" si="17"/>
        <v>2.6424309742190837</v>
      </c>
      <c r="P72" s="37">
        <f t="shared" si="18"/>
        <v>2.5655172911932151</v>
      </c>
      <c r="Q72" s="37">
        <f t="shared" si="19"/>
        <v>1.3601019544841308</v>
      </c>
      <c r="R72" s="39">
        <f t="shared" si="20"/>
        <v>6.0664599040331231</v>
      </c>
    </row>
    <row r="73" spans="2:18" customFormat="1" x14ac:dyDescent="0.25">
      <c r="B73" s="19" t="s">
        <v>1067</v>
      </c>
      <c r="C73" s="3" t="s">
        <v>138</v>
      </c>
      <c r="D73" s="3">
        <v>11.75</v>
      </c>
      <c r="E73" s="3">
        <v>20.901260813525361</v>
      </c>
      <c r="F73" s="3">
        <v>740</v>
      </c>
      <c r="G73" s="4">
        <v>20.39</v>
      </c>
      <c r="H73" s="7"/>
      <c r="I73" s="7"/>
      <c r="J73" s="38">
        <f t="shared" si="21"/>
        <v>19.771199000064875</v>
      </c>
      <c r="K73" s="37">
        <f t="shared" si="22"/>
        <v>22.379999939455843</v>
      </c>
      <c r="L73" s="37">
        <f t="shared" si="23"/>
        <v>20.028102175443269</v>
      </c>
      <c r="M73" s="39">
        <f t="shared" si="24"/>
        <v>160.09031846571384</v>
      </c>
      <c r="N73" s="117"/>
      <c r="O73" s="38">
        <f t="shared" si="17"/>
        <v>1.6826552340480745</v>
      </c>
      <c r="P73" s="37">
        <f t="shared" si="18"/>
        <v>1.9046808459111355</v>
      </c>
      <c r="Q73" s="37">
        <f t="shared" si="19"/>
        <v>1.7045193340802782</v>
      </c>
      <c r="R73" s="39">
        <f t="shared" si="20"/>
        <v>13.624707954528837</v>
      </c>
    </row>
    <row r="74" spans="2:18" customFormat="1" x14ac:dyDescent="0.25">
      <c r="B74" s="19" t="s">
        <v>1067</v>
      </c>
      <c r="C74" s="3" t="s">
        <v>139</v>
      </c>
      <c r="D74" s="3">
        <v>11.75</v>
      </c>
      <c r="E74" s="3">
        <v>24.300750954777929</v>
      </c>
      <c r="F74" s="3">
        <v>580</v>
      </c>
      <c r="G74" s="4">
        <v>20.48</v>
      </c>
      <c r="H74" s="7"/>
      <c r="I74" s="7"/>
      <c r="J74" s="38">
        <f t="shared" si="21"/>
        <v>24.285805116104807</v>
      </c>
      <c r="K74" s="37">
        <f t="shared" si="22"/>
        <v>26.01999992960863</v>
      </c>
      <c r="L74" s="37">
        <f t="shared" si="23"/>
        <v>22.722267862277917</v>
      </c>
      <c r="M74" s="39">
        <f t="shared" si="24"/>
        <v>233.11142497538518</v>
      </c>
      <c r="N74" s="117"/>
      <c r="O74" s="38">
        <f t="shared" si="17"/>
        <v>2.0668770311578561</v>
      </c>
      <c r="P74" s="37">
        <f t="shared" si="18"/>
        <v>2.2144680791156279</v>
      </c>
      <c r="Q74" s="37">
        <f t="shared" si="19"/>
        <v>1.9338100308321631</v>
      </c>
      <c r="R74" s="39">
        <f t="shared" si="20"/>
        <v>19.839270210671078</v>
      </c>
    </row>
    <row r="75" spans="2:18" customFormat="1" x14ac:dyDescent="0.25">
      <c r="B75" s="19" t="s">
        <v>1067</v>
      </c>
      <c r="C75" s="3" t="s">
        <v>140</v>
      </c>
      <c r="D75" s="3">
        <v>11.75</v>
      </c>
      <c r="E75" s="3">
        <v>23.441539160834974</v>
      </c>
      <c r="F75" s="3">
        <v>120</v>
      </c>
      <c r="G75" s="4">
        <v>31.62</v>
      </c>
      <c r="H75" s="7"/>
      <c r="I75" s="7"/>
      <c r="J75" s="38">
        <f t="shared" si="21"/>
        <v>26.233152738433901</v>
      </c>
      <c r="K75" s="37">
        <f t="shared" si="22"/>
        <v>25.099999932097489</v>
      </c>
      <c r="L75" s="37">
        <f t="shared" si="23"/>
        <v>12.157242799353394</v>
      </c>
      <c r="M75" s="39">
        <f t="shared" si="24"/>
        <v>124.22198246342873</v>
      </c>
      <c r="N75" s="117"/>
      <c r="O75" s="38">
        <f t="shared" si="17"/>
        <v>2.2326087436965021</v>
      </c>
      <c r="P75" s="37">
        <f t="shared" si="18"/>
        <v>2.1361702069870203</v>
      </c>
      <c r="Q75" s="37">
        <f t="shared" si="19"/>
        <v>1.0346589616470974</v>
      </c>
      <c r="R75" s="39">
        <f t="shared" si="20"/>
        <v>10.572083613908829</v>
      </c>
    </row>
    <row r="76" spans="2:18" customFormat="1" x14ac:dyDescent="0.25">
      <c r="B76" s="19" t="s">
        <v>1067</v>
      </c>
      <c r="C76" s="3" t="s">
        <v>141</v>
      </c>
      <c r="D76" s="3">
        <v>11.75</v>
      </c>
      <c r="E76" s="3">
        <v>28.279275131078993</v>
      </c>
      <c r="F76" s="3">
        <v>160</v>
      </c>
      <c r="G76" s="4">
        <v>30.6</v>
      </c>
      <c r="H76" s="7"/>
      <c r="I76" s="7"/>
      <c r="J76" s="38">
        <f t="shared" si="21"/>
        <v>32.806856826545285</v>
      </c>
      <c r="K76" s="37">
        <f t="shared" si="22"/>
        <v>30.279999918084133</v>
      </c>
      <c r="L76" s="37">
        <f t="shared" si="23"/>
        <v>19.985625993576026</v>
      </c>
      <c r="M76" s="39">
        <f t="shared" si="24"/>
        <v>282.23134775774224</v>
      </c>
      <c r="N76" s="117"/>
      <c r="O76" s="38">
        <f t="shared" si="17"/>
        <v>2.7920729214081095</v>
      </c>
      <c r="P76" s="37">
        <f t="shared" si="18"/>
        <v>2.5770212696241814</v>
      </c>
      <c r="Q76" s="37">
        <f t="shared" si="19"/>
        <v>1.7009043398788106</v>
      </c>
      <c r="R76" s="39">
        <f t="shared" si="20"/>
        <v>24.019689170871679</v>
      </c>
    </row>
    <row r="77" spans="2:18" customFormat="1" x14ac:dyDescent="0.25">
      <c r="B77" s="19" t="s">
        <v>1067</v>
      </c>
      <c r="C77" s="3" t="s">
        <v>142</v>
      </c>
      <c r="D77" s="3">
        <v>11.75</v>
      </c>
      <c r="E77" s="3">
        <v>29.250558028579725</v>
      </c>
      <c r="F77" s="3">
        <v>220</v>
      </c>
      <c r="G77" s="4">
        <v>35.61</v>
      </c>
      <c r="H77" s="7"/>
      <c r="I77" s="7"/>
      <c r="J77" s="38">
        <f t="shared" si="21"/>
        <v>33.856293285227927</v>
      </c>
      <c r="K77" s="37">
        <f t="shared" si="22"/>
        <v>31.319999915270643</v>
      </c>
      <c r="L77" s="37">
        <f t="shared" si="23"/>
        <v>23.48707277319939</v>
      </c>
      <c r="M77" s="39">
        <f t="shared" si="24"/>
        <v>351.77621984154342</v>
      </c>
      <c r="N77" s="117"/>
      <c r="O77" s="38">
        <f t="shared" si="17"/>
        <v>2.8813866625725897</v>
      </c>
      <c r="P77" s="37">
        <f t="shared" si="18"/>
        <v>2.6655319076826078</v>
      </c>
      <c r="Q77" s="37">
        <f t="shared" si="19"/>
        <v>1.9988998104850544</v>
      </c>
      <c r="R77" s="39">
        <f t="shared" si="20"/>
        <v>29.938401688641992</v>
      </c>
    </row>
    <row r="78" spans="2:18" customFormat="1" x14ac:dyDescent="0.25">
      <c r="B78" s="19" t="s">
        <v>1067</v>
      </c>
      <c r="C78" s="3" t="s">
        <v>143</v>
      </c>
      <c r="D78" s="3">
        <v>6.166666666666667</v>
      </c>
      <c r="E78" s="3">
        <v>17.026227692488874</v>
      </c>
      <c r="F78" s="3">
        <v>1080</v>
      </c>
      <c r="G78" s="4">
        <v>10.48</v>
      </c>
      <c r="H78" s="7"/>
      <c r="I78" s="7"/>
      <c r="J78" s="38">
        <f t="shared" si="21"/>
        <v>11.317444159253411</v>
      </c>
      <c r="K78" s="37">
        <f t="shared" si="22"/>
        <v>12.800000144526678</v>
      </c>
      <c r="L78" s="37">
        <f t="shared" si="23"/>
        <v>12.103751692893169</v>
      </c>
      <c r="M78" s="39">
        <f t="shared" si="24"/>
        <v>50.189209671219338</v>
      </c>
      <c r="N78" s="117"/>
      <c r="O78" s="38">
        <f t="shared" si="17"/>
        <v>1.8352612150140666</v>
      </c>
      <c r="P78" s="37">
        <f t="shared" si="18"/>
        <v>2.0756756991124341</v>
      </c>
      <c r="Q78" s="37">
        <f t="shared" si="19"/>
        <v>1.9627705447934869</v>
      </c>
      <c r="R78" s="39">
        <f t="shared" si="20"/>
        <v>8.1387907574950269</v>
      </c>
    </row>
    <row r="79" spans="2:18" customFormat="1" x14ac:dyDescent="0.25">
      <c r="B79" s="19" t="s">
        <v>1067</v>
      </c>
      <c r="C79" s="3" t="s">
        <v>144</v>
      </c>
      <c r="D79" s="3">
        <v>6.166666666666667</v>
      </c>
      <c r="E79" s="3">
        <v>14.365879615537487</v>
      </c>
      <c r="F79" s="3">
        <v>1020</v>
      </c>
      <c r="G79" s="4">
        <v>7.63</v>
      </c>
      <c r="H79" s="7"/>
      <c r="I79" s="7"/>
      <c r="J79" s="38">
        <f t="shared" si="21"/>
        <v>10.106527221732858</v>
      </c>
      <c r="K79" s="37">
        <f t="shared" si="22"/>
        <v>10.800000121944384</v>
      </c>
      <c r="L79" s="37">
        <f t="shared" si="23"/>
        <v>8.8029487400133437</v>
      </c>
      <c r="M79" s="39">
        <f t="shared" si="24"/>
        <v>30.68948610979594</v>
      </c>
      <c r="N79" s="117"/>
      <c r="O79" s="38">
        <f t="shared" si="17"/>
        <v>1.6388963062269497</v>
      </c>
      <c r="P79" s="37">
        <f t="shared" si="18"/>
        <v>1.7513513711261162</v>
      </c>
      <c r="Q79" s="37">
        <f t="shared" si="19"/>
        <v>1.427505201083245</v>
      </c>
      <c r="R79" s="39">
        <f t="shared" si="20"/>
        <v>4.9766734232101522</v>
      </c>
    </row>
    <row r="80" spans="2:18" customFormat="1" x14ac:dyDescent="0.25">
      <c r="B80" s="19" t="s">
        <v>1067</v>
      </c>
      <c r="C80" s="3" t="s">
        <v>145</v>
      </c>
      <c r="D80" s="3">
        <v>7.166666666666667</v>
      </c>
      <c r="E80" s="3">
        <v>11.27023930432992</v>
      </c>
      <c r="F80" s="3">
        <v>1040</v>
      </c>
      <c r="G80" s="4">
        <v>8.93</v>
      </c>
      <c r="H80" s="7"/>
      <c r="I80" s="7"/>
      <c r="J80" s="38">
        <f t="shared" si="21"/>
        <v>9.406175665454958</v>
      </c>
      <c r="K80" s="37">
        <f t="shared" si="22"/>
        <v>9.4000000675025639</v>
      </c>
      <c r="L80" s="37">
        <f t="shared" si="23"/>
        <v>7.9376275217505423</v>
      </c>
      <c r="M80" s="39">
        <f t="shared" si="24"/>
        <v>24.822366576995393</v>
      </c>
      <c r="N80" s="117"/>
      <c r="O80" s="38">
        <f t="shared" si="17"/>
        <v>1.312489627737901</v>
      </c>
      <c r="P80" s="37">
        <f t="shared" si="18"/>
        <v>1.3116279163957065</v>
      </c>
      <c r="Q80" s="37">
        <f t="shared" si="19"/>
        <v>1.1075759332675175</v>
      </c>
      <c r="R80" s="39">
        <f t="shared" si="20"/>
        <v>3.4635860339993569</v>
      </c>
    </row>
    <row r="81" spans="2:18" customFormat="1" x14ac:dyDescent="0.25">
      <c r="B81" s="19" t="s">
        <v>1067</v>
      </c>
      <c r="C81" s="3" t="s">
        <v>146</v>
      </c>
      <c r="D81" s="3">
        <v>11.666666666666666</v>
      </c>
      <c r="E81" s="3">
        <v>19.517395182791201</v>
      </c>
      <c r="F81" s="3">
        <v>120</v>
      </c>
      <c r="G81" s="4">
        <v>26.6</v>
      </c>
      <c r="H81" s="7"/>
      <c r="I81" s="7"/>
      <c r="J81" s="38">
        <f t="shared" si="21"/>
        <v>21.650687086252372</v>
      </c>
      <c r="K81" s="37">
        <f t="shared" si="22"/>
        <v>20.839999945923125</v>
      </c>
      <c r="L81" s="37">
        <f t="shared" si="23"/>
        <v>8.405436495704123</v>
      </c>
      <c r="M81" s="39">
        <f t="shared" si="24"/>
        <v>65.624204085747834</v>
      </c>
      <c r="N81" s="117"/>
      <c r="O81" s="38">
        <f t="shared" si="17"/>
        <v>1.8557731788216321</v>
      </c>
      <c r="P81" s="37">
        <f t="shared" si="18"/>
        <v>1.7862857096505538</v>
      </c>
      <c r="Q81" s="37">
        <f t="shared" si="19"/>
        <v>0.72046598534606776</v>
      </c>
      <c r="R81" s="39">
        <f t="shared" si="20"/>
        <v>5.6249317787783859</v>
      </c>
    </row>
    <row r="82" spans="2:18" customFormat="1" x14ac:dyDescent="0.25">
      <c r="B82" s="19" t="s">
        <v>1067</v>
      </c>
      <c r="C82" s="3" t="s">
        <v>147</v>
      </c>
      <c r="D82" s="3">
        <v>4.166666666666667</v>
      </c>
      <c r="E82" s="3">
        <v>17.492474318347362</v>
      </c>
      <c r="F82" s="3">
        <v>1120</v>
      </c>
      <c r="G82" s="4">
        <v>6.71</v>
      </c>
      <c r="H82" s="7"/>
      <c r="I82" s="7"/>
      <c r="J82" s="38">
        <f t="shared" si="21"/>
        <v>8.6099728759456546</v>
      </c>
      <c r="K82" s="37">
        <f t="shared" si="22"/>
        <v>9.2000002339525651</v>
      </c>
      <c r="L82" s="37">
        <f t="shared" si="23"/>
        <v>7.6297158083689096</v>
      </c>
      <c r="M82" s="39">
        <f t="shared" si="24"/>
        <v>22.746975357424898</v>
      </c>
      <c r="N82" s="117"/>
      <c r="O82" s="38">
        <f t="shared" si="17"/>
        <v>2.066393490226957</v>
      </c>
      <c r="P82" s="37">
        <f t="shared" si="18"/>
        <v>2.2080000561486153</v>
      </c>
      <c r="Q82" s="37">
        <f t="shared" si="19"/>
        <v>1.8311317940085381</v>
      </c>
      <c r="R82" s="39">
        <f t="shared" si="20"/>
        <v>5.459274085781975</v>
      </c>
    </row>
    <row r="83" spans="2:18" customFormat="1" x14ac:dyDescent="0.25">
      <c r="B83" s="19" t="s">
        <v>1067</v>
      </c>
      <c r="C83" s="3" t="s">
        <v>148</v>
      </c>
      <c r="D83" s="3">
        <v>6.666666666666667</v>
      </c>
      <c r="E83" s="3">
        <v>10.41587700873318</v>
      </c>
      <c r="F83" s="3">
        <v>900</v>
      </c>
      <c r="G83" s="4">
        <v>8.82</v>
      </c>
      <c r="H83" s="7"/>
      <c r="I83" s="7"/>
      <c r="J83" s="38">
        <f t="shared" si="21"/>
        <v>9.0048916705590738</v>
      </c>
      <c r="K83" s="37">
        <f t="shared" si="22"/>
        <v>8.280000075199041</v>
      </c>
      <c r="L83" s="37">
        <f t="shared" si="23"/>
        <v>5.7656471617954823</v>
      </c>
      <c r="M83" s="39">
        <f t="shared" si="24"/>
        <v>16.48774072293261</v>
      </c>
      <c r="N83" s="117"/>
      <c r="O83" s="38">
        <f t="shared" si="17"/>
        <v>1.350733750583861</v>
      </c>
      <c r="P83" s="37">
        <f t="shared" si="18"/>
        <v>1.2420000112798562</v>
      </c>
      <c r="Q83" s="37">
        <f t="shared" si="19"/>
        <v>0.86484707426932228</v>
      </c>
      <c r="R83" s="39">
        <f t="shared" si="20"/>
        <v>2.4731611084398915</v>
      </c>
    </row>
    <row r="84" spans="2:18" customFormat="1" x14ac:dyDescent="0.25">
      <c r="B84" s="19" t="s">
        <v>1067</v>
      </c>
      <c r="C84" s="3" t="s">
        <v>149</v>
      </c>
      <c r="D84" s="3">
        <v>7.083333333333333</v>
      </c>
      <c r="E84" s="3">
        <v>13.940658372929349</v>
      </c>
      <c r="F84" s="3">
        <v>790</v>
      </c>
      <c r="G84" s="4">
        <v>9.5299999999999994</v>
      </c>
      <c r="H84" s="7"/>
      <c r="I84" s="7"/>
      <c r="J84" s="38">
        <f t="shared" si="21"/>
        <v>11.347221759947217</v>
      </c>
      <c r="K84" s="37">
        <f t="shared" si="22"/>
        <v>11.540000086311146</v>
      </c>
      <c r="L84" s="37">
        <f t="shared" si="23"/>
        <v>7.4758104814611075</v>
      </c>
      <c r="M84" s="39">
        <f t="shared" si="24"/>
        <v>28.645390656037023</v>
      </c>
      <c r="N84" s="117"/>
      <c r="O84" s="38">
        <f t="shared" si="17"/>
        <v>1.6019607190513718</v>
      </c>
      <c r="P84" s="37">
        <f t="shared" si="18"/>
        <v>1.6291764827733384</v>
      </c>
      <c r="Q84" s="37">
        <f t="shared" si="19"/>
        <v>1.0554085385592151</v>
      </c>
      <c r="R84" s="39">
        <f t="shared" si="20"/>
        <v>4.0440551514405207</v>
      </c>
    </row>
    <row r="85" spans="2:18" customFormat="1" x14ac:dyDescent="0.25">
      <c r="B85" s="19" t="s">
        <v>1067</v>
      </c>
      <c r="C85" s="3" t="s">
        <v>150</v>
      </c>
      <c r="D85" s="3">
        <v>7.083333333333333</v>
      </c>
      <c r="E85" s="3">
        <v>17.552666044944839</v>
      </c>
      <c r="F85" s="3">
        <v>1020</v>
      </c>
      <c r="G85" s="4">
        <v>13.69</v>
      </c>
      <c r="H85" s="7"/>
      <c r="I85" s="7"/>
      <c r="J85" s="38">
        <f t="shared" si="21"/>
        <v>12.734249544251234</v>
      </c>
      <c r="K85" s="37">
        <f t="shared" si="22"/>
        <v>14.53000010867426</v>
      </c>
      <c r="L85" s="37">
        <f t="shared" si="23"/>
        <v>13.738116612816729</v>
      </c>
      <c r="M85" s="39">
        <f t="shared" si="24"/>
        <v>65.461687727480466</v>
      </c>
      <c r="N85" s="117"/>
      <c r="O85" s="38">
        <f t="shared" si="17"/>
        <v>1.7977764062472332</v>
      </c>
      <c r="P85" s="37">
        <f t="shared" si="18"/>
        <v>2.0512941329893075</v>
      </c>
      <c r="Q85" s="37">
        <f t="shared" si="19"/>
        <v>1.9394988159270676</v>
      </c>
      <c r="R85" s="39">
        <f t="shared" si="20"/>
        <v>9.2416500321148902</v>
      </c>
    </row>
    <row r="86" spans="2:18" customFormat="1" x14ac:dyDescent="0.25">
      <c r="B86" s="19" t="s">
        <v>1067</v>
      </c>
      <c r="C86" s="3" t="s">
        <v>151</v>
      </c>
      <c r="D86" s="3">
        <v>7.083333333333333</v>
      </c>
      <c r="E86" s="3">
        <v>17.323140473813417</v>
      </c>
      <c r="F86" s="3">
        <v>1150</v>
      </c>
      <c r="G86" s="4">
        <v>11.87</v>
      </c>
      <c r="H86" s="7"/>
      <c r="I86" s="7"/>
      <c r="J86" s="38">
        <f t="shared" si="21"/>
        <v>12.178306821132713</v>
      </c>
      <c r="K86" s="37">
        <f t="shared" si="22"/>
        <v>14.340000107253191</v>
      </c>
      <c r="L86" s="37">
        <f t="shared" si="23"/>
        <v>15.689955340306037</v>
      </c>
      <c r="M86" s="39">
        <f t="shared" si="24"/>
        <v>72.486182850563793</v>
      </c>
      <c r="N86" s="117"/>
      <c r="O86" s="38">
        <f t="shared" si="17"/>
        <v>1.7192903747481478</v>
      </c>
      <c r="P86" s="37">
        <f t="shared" si="18"/>
        <v>2.0244706033769213</v>
      </c>
      <c r="Q86" s="37">
        <f t="shared" si="19"/>
        <v>2.2150525186314405</v>
      </c>
      <c r="R86" s="39">
        <f t="shared" si="20"/>
        <v>10.233343461256066</v>
      </c>
    </row>
    <row r="87" spans="2:18" customFormat="1" x14ac:dyDescent="0.25">
      <c r="B87" s="19" t="s">
        <v>1067</v>
      </c>
      <c r="C87" s="3" t="s">
        <v>152</v>
      </c>
      <c r="D87" s="3">
        <v>7.083333333333333</v>
      </c>
      <c r="E87" s="3">
        <v>13.976899252581676</v>
      </c>
      <c r="F87" s="3">
        <v>960</v>
      </c>
      <c r="G87" s="4">
        <v>10.82</v>
      </c>
      <c r="H87" s="7"/>
      <c r="I87" s="7"/>
      <c r="J87" s="38">
        <f t="shared" si="21"/>
        <v>10.879338055408205</v>
      </c>
      <c r="K87" s="37">
        <f t="shared" si="22"/>
        <v>11.570000086535524</v>
      </c>
      <c r="L87" s="37">
        <f t="shared" si="23"/>
        <v>9.1766387084012173</v>
      </c>
      <c r="M87" s="39">
        <f t="shared" si="24"/>
        <v>34.549058397188226</v>
      </c>
      <c r="N87" s="117"/>
      <c r="O87" s="38">
        <f t="shared" si="17"/>
        <v>1.5359065489988055</v>
      </c>
      <c r="P87" s="37">
        <f t="shared" si="18"/>
        <v>1.6334117769226624</v>
      </c>
      <c r="Q87" s="37">
        <f t="shared" si="19"/>
        <v>1.2955254647154659</v>
      </c>
      <c r="R87" s="39">
        <f t="shared" si="20"/>
        <v>4.8775141266618673</v>
      </c>
    </row>
    <row r="88" spans="2:18" customFormat="1" x14ac:dyDescent="0.25">
      <c r="B88" s="19" t="s">
        <v>1067</v>
      </c>
      <c r="C88" s="3" t="s">
        <v>153</v>
      </c>
      <c r="D88" s="3">
        <v>9.75</v>
      </c>
      <c r="E88" s="3">
        <v>13.760998894906932</v>
      </c>
      <c r="F88" s="3">
        <v>400</v>
      </c>
      <c r="G88" s="4">
        <v>12.03</v>
      </c>
      <c r="H88" s="7"/>
      <c r="I88" s="7"/>
      <c r="J88" s="38">
        <f t="shared" si="21"/>
        <v>14.333583759409784</v>
      </c>
      <c r="K88" s="37">
        <f t="shared" si="22"/>
        <v>13.600000006334124</v>
      </c>
      <c r="L88" s="37">
        <f t="shared" si="23"/>
        <v>6.0883634373387228</v>
      </c>
      <c r="M88" s="39">
        <f t="shared" si="24"/>
        <v>28.804556849039976</v>
      </c>
      <c r="N88" s="117"/>
      <c r="O88" s="38">
        <f t="shared" si="17"/>
        <v>1.47011115481126</v>
      </c>
      <c r="P88" s="37">
        <f t="shared" si="18"/>
        <v>1.3948717955214487</v>
      </c>
      <c r="Q88" s="37">
        <f t="shared" si="19"/>
        <v>0.62444753203474079</v>
      </c>
      <c r="R88" s="39">
        <f t="shared" si="20"/>
        <v>2.9543135229784592</v>
      </c>
    </row>
    <row r="89" spans="2:18" customFormat="1" x14ac:dyDescent="0.25">
      <c r="B89" s="19" t="s">
        <v>1067</v>
      </c>
      <c r="C89" s="3" t="s">
        <v>154</v>
      </c>
      <c r="D89" s="3">
        <v>9.75</v>
      </c>
      <c r="E89" s="3">
        <v>13.80147242106842</v>
      </c>
      <c r="F89" s="3">
        <v>380</v>
      </c>
      <c r="G89" s="4">
        <v>12.28</v>
      </c>
      <c r="H89" s="7"/>
      <c r="I89" s="7"/>
      <c r="J89" s="38">
        <f t="shared" si="21"/>
        <v>14.4359617375782</v>
      </c>
      <c r="K89" s="37">
        <f t="shared" si="22"/>
        <v>13.640000006352752</v>
      </c>
      <c r="L89" s="37">
        <f t="shared" si="23"/>
        <v>5.9680555358863012</v>
      </c>
      <c r="M89" s="39">
        <f t="shared" si="24"/>
        <v>28.379923733587447</v>
      </c>
      <c r="N89" s="117"/>
      <c r="O89" s="38">
        <f t="shared" si="17"/>
        <v>1.4806114602644307</v>
      </c>
      <c r="P89" s="37">
        <f t="shared" si="18"/>
        <v>1.3989743596259232</v>
      </c>
      <c r="Q89" s="37">
        <f t="shared" si="19"/>
        <v>0.61210826009090269</v>
      </c>
      <c r="R89" s="39">
        <f t="shared" si="20"/>
        <v>2.9107614085730713</v>
      </c>
    </row>
    <row r="90" spans="2:18" customFormat="1" x14ac:dyDescent="0.25">
      <c r="B90" s="19" t="s">
        <v>1067</v>
      </c>
      <c r="C90" s="3" t="s">
        <v>155</v>
      </c>
      <c r="D90" s="3">
        <v>9.75</v>
      </c>
      <c r="E90" s="3">
        <v>12.081347559205053</v>
      </c>
      <c r="F90" s="3">
        <v>260</v>
      </c>
      <c r="G90" s="4">
        <v>12.92</v>
      </c>
      <c r="H90" s="7"/>
      <c r="I90" s="7"/>
      <c r="J90" s="38">
        <f t="shared" si="21"/>
        <v>13.701483045482142</v>
      </c>
      <c r="K90" s="37">
        <f t="shared" si="22"/>
        <v>11.940000005560986</v>
      </c>
      <c r="L90" s="37">
        <f t="shared" si="23"/>
        <v>4.4115338600615939</v>
      </c>
      <c r="M90" s="39">
        <f t="shared" si="24"/>
        <v>18.933173324678503</v>
      </c>
      <c r="N90" s="117"/>
      <c r="O90" s="38">
        <f t="shared" si="17"/>
        <v>1.4052803123571427</v>
      </c>
      <c r="P90" s="37">
        <f t="shared" si="18"/>
        <v>1.2246153851857422</v>
      </c>
      <c r="Q90" s="37">
        <f t="shared" si="19"/>
        <v>0.45246501128836858</v>
      </c>
      <c r="R90" s="39">
        <f t="shared" si="20"/>
        <v>1.9418639307362566</v>
      </c>
    </row>
    <row r="91" spans="2:18" customFormat="1" x14ac:dyDescent="0.25">
      <c r="B91" s="19" t="s">
        <v>1067</v>
      </c>
      <c r="C91" s="3" t="s">
        <v>156</v>
      </c>
      <c r="D91" s="3">
        <v>8.75</v>
      </c>
      <c r="E91" s="3">
        <v>19.390620339218696</v>
      </c>
      <c r="F91" s="3">
        <v>820</v>
      </c>
      <c r="G91" s="4">
        <v>17.670000000000002</v>
      </c>
      <c r="H91" s="7"/>
      <c r="I91" s="7"/>
      <c r="J91" s="38">
        <f t="shared" si="21"/>
        <v>16.174811856160943</v>
      </c>
      <c r="K91" s="37">
        <f t="shared" si="22"/>
        <v>18.160000047122658</v>
      </c>
      <c r="L91" s="37">
        <f t="shared" si="23"/>
        <v>15.558204379789697</v>
      </c>
      <c r="M91" s="39">
        <f t="shared" si="24"/>
        <v>97.268437324276888</v>
      </c>
      <c r="N91" s="117"/>
      <c r="O91" s="38">
        <f t="shared" si="17"/>
        <v>1.8485499264183936</v>
      </c>
      <c r="P91" s="37">
        <f t="shared" si="18"/>
        <v>2.0754285768140179</v>
      </c>
      <c r="Q91" s="37">
        <f t="shared" si="19"/>
        <v>1.7780805005473939</v>
      </c>
      <c r="R91" s="39">
        <f t="shared" si="20"/>
        <v>11.116392837060216</v>
      </c>
    </row>
    <row r="92" spans="2:18" customFormat="1" x14ac:dyDescent="0.25">
      <c r="B92" s="19" t="s">
        <v>1067</v>
      </c>
      <c r="C92" s="3" t="s">
        <v>157</v>
      </c>
      <c r="D92" s="3">
        <v>6.333333333333333</v>
      </c>
      <c r="E92" s="3">
        <v>19.696048838885218</v>
      </c>
      <c r="F92" s="3">
        <v>460</v>
      </c>
      <c r="G92" s="4">
        <v>14.98</v>
      </c>
      <c r="H92" s="7"/>
      <c r="I92" s="7"/>
      <c r="J92" s="38">
        <f t="shared" si="21"/>
        <v>15.349267748768819</v>
      </c>
      <c r="K92" s="37">
        <f t="shared" si="22"/>
        <v>15.100000158791772</v>
      </c>
      <c r="L92" s="37">
        <f t="shared" si="23"/>
        <v>7.66466654669291</v>
      </c>
      <c r="M92" s="39">
        <f t="shared" si="24"/>
        <v>41.796069469110854</v>
      </c>
      <c r="N92" s="117"/>
      <c r="O92" s="38">
        <f t="shared" si="17"/>
        <v>2.423568591910866</v>
      </c>
      <c r="P92" s="37">
        <f t="shared" si="18"/>
        <v>2.3842105513881746</v>
      </c>
      <c r="Q92" s="37">
        <f t="shared" si="19"/>
        <v>1.2102105073725649</v>
      </c>
      <c r="R92" s="39">
        <f t="shared" si="20"/>
        <v>6.5993793898596085</v>
      </c>
    </row>
    <row r="93" spans="2:18" customFormat="1" x14ac:dyDescent="0.25">
      <c r="B93" s="19" t="s">
        <v>1067</v>
      </c>
      <c r="C93" s="3" t="s">
        <v>158</v>
      </c>
      <c r="D93" s="3">
        <v>8.75</v>
      </c>
      <c r="E93" s="3">
        <v>23.405418383021686</v>
      </c>
      <c r="F93" s="3">
        <v>1100</v>
      </c>
      <c r="G93" s="4">
        <v>21.19</v>
      </c>
      <c r="H93" s="7"/>
      <c r="I93" s="7"/>
      <c r="J93" s="38">
        <f t="shared" si="21"/>
        <v>18.271724995393495</v>
      </c>
      <c r="K93" s="37">
        <f t="shared" si="22"/>
        <v>21.920000056879331</v>
      </c>
      <c r="L93" s="37">
        <f t="shared" si="23"/>
        <v>31.494959945949166</v>
      </c>
      <c r="M93" s="39">
        <f t="shared" si="24"/>
        <v>250.16436595386156</v>
      </c>
      <c r="N93" s="117"/>
      <c r="O93" s="38">
        <f t="shared" si="17"/>
        <v>2.0881971423306851</v>
      </c>
      <c r="P93" s="37">
        <f t="shared" si="18"/>
        <v>2.5051428636433521</v>
      </c>
      <c r="Q93" s="37">
        <f t="shared" si="19"/>
        <v>3.5994239938227617</v>
      </c>
      <c r="R93" s="39">
        <f t="shared" si="20"/>
        <v>28.590213251869894</v>
      </c>
    </row>
    <row r="94" spans="2:18" customFormat="1" x14ac:dyDescent="0.25">
      <c r="B94" s="19" t="s">
        <v>1067</v>
      </c>
      <c r="C94" s="3" t="s">
        <v>159</v>
      </c>
      <c r="D94" s="3">
        <v>8.75</v>
      </c>
      <c r="E94" s="3">
        <v>22.42307418081457</v>
      </c>
      <c r="F94" s="3">
        <v>600</v>
      </c>
      <c r="G94" s="4">
        <v>21.01</v>
      </c>
      <c r="H94" s="7"/>
      <c r="I94" s="7"/>
      <c r="J94" s="38">
        <f t="shared" si="21"/>
        <v>19.823191626060538</v>
      </c>
      <c r="K94" s="37">
        <f t="shared" si="22"/>
        <v>21.000000054492059</v>
      </c>
      <c r="L94" s="37">
        <f t="shared" si="23"/>
        <v>15.8873400228973</v>
      </c>
      <c r="M94" s="39">
        <f t="shared" si="24"/>
        <v>125.22990949468168</v>
      </c>
      <c r="N94" s="117"/>
      <c r="O94" s="38">
        <f t="shared" si="17"/>
        <v>2.2655076144069186</v>
      </c>
      <c r="P94" s="37">
        <f t="shared" si="18"/>
        <v>2.4000000062276641</v>
      </c>
      <c r="Q94" s="37">
        <f t="shared" si="19"/>
        <v>1.8156960026168343</v>
      </c>
      <c r="R94" s="39">
        <f t="shared" si="20"/>
        <v>14.311989656535049</v>
      </c>
    </row>
    <row r="95" spans="2:18" customFormat="1" x14ac:dyDescent="0.25">
      <c r="B95" s="19" t="s">
        <v>1067</v>
      </c>
      <c r="C95" s="3" t="s">
        <v>160</v>
      </c>
      <c r="D95" s="3">
        <v>8.6666666666666661</v>
      </c>
      <c r="E95" s="3">
        <v>8.3706833262674163</v>
      </c>
      <c r="F95" s="3">
        <v>920</v>
      </c>
      <c r="G95" s="4">
        <v>8.3699999999999992</v>
      </c>
      <c r="H95" s="7"/>
      <c r="I95" s="7"/>
      <c r="J95" s="38">
        <f t="shared" si="21"/>
        <v>9.2141687264320531</v>
      </c>
      <c r="K95" s="37">
        <f t="shared" si="22"/>
        <v>7.8000000217968255</v>
      </c>
      <c r="L95" s="37">
        <f t="shared" si="23"/>
        <v>6.2409512168800685</v>
      </c>
      <c r="M95" s="39">
        <f t="shared" si="24"/>
        <v>18.162673191266414</v>
      </c>
      <c r="N95" s="117"/>
      <c r="O95" s="38">
        <f t="shared" si="17"/>
        <v>1.063173314588314</v>
      </c>
      <c r="P95" s="37">
        <f t="shared" si="18"/>
        <v>0.90000000251501844</v>
      </c>
      <c r="Q95" s="37">
        <f t="shared" si="19"/>
        <v>0.72010975579385406</v>
      </c>
      <c r="R95" s="39">
        <f t="shared" si="20"/>
        <v>2.0956930605307402</v>
      </c>
    </row>
    <row r="96" spans="2:18" customFormat="1" x14ac:dyDescent="0.25">
      <c r="B96" s="19" t="s">
        <v>1067</v>
      </c>
      <c r="C96" s="3" t="s">
        <v>161</v>
      </c>
      <c r="D96" s="3">
        <v>8.6666666666666661</v>
      </c>
      <c r="E96" s="3">
        <v>7.8341010617630928</v>
      </c>
      <c r="F96" s="3">
        <v>880</v>
      </c>
      <c r="G96" s="4">
        <v>7.4</v>
      </c>
      <c r="H96" s="7"/>
      <c r="I96" s="7"/>
      <c r="J96" s="38">
        <f t="shared" si="21"/>
        <v>9.0712983926808661</v>
      </c>
      <c r="K96" s="37">
        <f t="shared" si="22"/>
        <v>7.3000000203995921</v>
      </c>
      <c r="L96" s="37">
        <f t="shared" si="23"/>
        <v>5.6622392105112382</v>
      </c>
      <c r="M96" s="39">
        <f t="shared" si="24"/>
        <v>15.964426718471767</v>
      </c>
      <c r="N96" s="117"/>
      <c r="O96" s="38">
        <f t="shared" si="17"/>
        <v>1.0466882760785616</v>
      </c>
      <c r="P96" s="37">
        <f t="shared" si="18"/>
        <v>0.84230769466149147</v>
      </c>
      <c r="Q96" s="37">
        <f t="shared" si="19"/>
        <v>0.65333529352052755</v>
      </c>
      <c r="R96" s="39">
        <f t="shared" si="20"/>
        <v>1.8420492367467425</v>
      </c>
    </row>
    <row r="97" spans="2:18" customFormat="1" x14ac:dyDescent="0.25">
      <c r="B97" s="19" t="s">
        <v>1067</v>
      </c>
      <c r="C97" s="3" t="s">
        <v>162</v>
      </c>
      <c r="D97" s="3">
        <v>13.5</v>
      </c>
      <c r="E97" s="3">
        <v>24.947550431942283</v>
      </c>
      <c r="F97" s="3">
        <v>540</v>
      </c>
      <c r="G97" s="4">
        <v>30.62</v>
      </c>
      <c r="H97" s="7"/>
      <c r="I97" s="7"/>
      <c r="J97" s="38">
        <f t="shared" si="21"/>
        <v>26.363358726354129</v>
      </c>
      <c r="K97" s="37">
        <f t="shared" si="22"/>
        <v>28.099999867671759</v>
      </c>
      <c r="L97" s="37">
        <f t="shared" si="23"/>
        <v>24.8857261675156</v>
      </c>
      <c r="M97" s="39">
        <f t="shared" si="24"/>
        <v>281.92791688731228</v>
      </c>
      <c r="N97" s="117"/>
      <c r="O97" s="38">
        <f t="shared" si="17"/>
        <v>1.9528413871373429</v>
      </c>
      <c r="P97" s="37">
        <f t="shared" si="18"/>
        <v>2.0814814716793895</v>
      </c>
      <c r="Q97" s="37">
        <f t="shared" si="19"/>
        <v>1.8433871235196742</v>
      </c>
      <c r="R97" s="39">
        <f t="shared" si="20"/>
        <v>20.883549399060168</v>
      </c>
    </row>
    <row r="98" spans="2:18" customFormat="1" x14ac:dyDescent="0.25">
      <c r="B98" s="19" t="s">
        <v>1067</v>
      </c>
      <c r="C98" s="3" t="s">
        <v>163</v>
      </c>
      <c r="D98" s="3">
        <v>8</v>
      </c>
      <c r="E98" s="3">
        <v>28.039661201535377</v>
      </c>
      <c r="F98" s="3">
        <v>460</v>
      </c>
      <c r="G98" s="4">
        <v>24.43</v>
      </c>
      <c r="H98" s="7"/>
      <c r="I98" s="7"/>
      <c r="J98" s="38">
        <f t="shared" si="21"/>
        <v>25.926065615771083</v>
      </c>
      <c r="K98" s="37">
        <f t="shared" si="22"/>
        <v>25.000000113525118</v>
      </c>
      <c r="L98" s="37">
        <f t="shared" si="23"/>
        <v>21.020677581983662</v>
      </c>
      <c r="M98" s="39">
        <f t="shared" si="24"/>
        <v>234.7874787363676</v>
      </c>
      <c r="N98" s="117"/>
      <c r="O98" s="38">
        <f t="shared" si="17"/>
        <v>3.2407582019713854</v>
      </c>
      <c r="P98" s="37">
        <f t="shared" si="18"/>
        <v>3.1250000141906398</v>
      </c>
      <c r="Q98" s="37">
        <f t="shared" si="19"/>
        <v>2.6275846977479578</v>
      </c>
      <c r="R98" s="39">
        <f t="shared" si="20"/>
        <v>29.34843484204595</v>
      </c>
    </row>
    <row r="99" spans="2:18" customFormat="1" x14ac:dyDescent="0.25">
      <c r="B99" s="19" t="s">
        <v>1067</v>
      </c>
      <c r="C99" s="3" t="s">
        <v>164</v>
      </c>
      <c r="D99" s="3">
        <v>7</v>
      </c>
      <c r="E99" s="3">
        <v>22.278126547237136</v>
      </c>
      <c r="F99" s="3">
        <v>400</v>
      </c>
      <c r="G99" s="4">
        <v>18.59</v>
      </c>
      <c r="H99" s="7"/>
      <c r="I99" s="7"/>
      <c r="J99" s="38">
        <f t="shared" si="21"/>
        <v>18.663911661346674</v>
      </c>
      <c r="K99" s="37">
        <f t="shared" si="22"/>
        <v>18.300000142457812</v>
      </c>
      <c r="L99" s="37">
        <f t="shared" si="23"/>
        <v>10.09603621560615</v>
      </c>
      <c r="M99" s="39">
        <f t="shared" si="24"/>
        <v>70.778762356431258</v>
      </c>
      <c r="N99" s="117"/>
      <c r="O99" s="38">
        <f t="shared" si="17"/>
        <v>2.6662730944780964</v>
      </c>
      <c r="P99" s="37">
        <f t="shared" si="18"/>
        <v>2.6142857346368302</v>
      </c>
      <c r="Q99" s="37">
        <f t="shared" si="19"/>
        <v>1.4422908879437357</v>
      </c>
      <c r="R99" s="39">
        <f t="shared" si="20"/>
        <v>10.111251765204466</v>
      </c>
    </row>
    <row r="100" spans="2:18" customFormat="1" x14ac:dyDescent="0.25">
      <c r="B100" s="19" t="s">
        <v>1067</v>
      </c>
      <c r="C100" s="3" t="s">
        <v>165</v>
      </c>
      <c r="D100" s="3">
        <v>8.25</v>
      </c>
      <c r="E100" s="3">
        <v>26.01323348199557</v>
      </c>
      <c r="F100" s="3">
        <v>400</v>
      </c>
      <c r="G100" s="4">
        <v>18.510000000000002</v>
      </c>
      <c r="H100" s="7"/>
      <c r="I100" s="7"/>
      <c r="J100" s="38">
        <f t="shared" si="21"/>
        <v>24.206948163178115</v>
      </c>
      <c r="K100" s="37">
        <f t="shared" si="22"/>
        <v>23.60000009093018</v>
      </c>
      <c r="L100" s="37">
        <f t="shared" si="23"/>
        <v>16.657696011560507</v>
      </c>
      <c r="M100" s="39">
        <f t="shared" si="24"/>
        <v>166.16435970965699</v>
      </c>
      <c r="N100" s="117"/>
      <c r="O100" s="38">
        <f t="shared" si="17"/>
        <v>2.9341755349306808</v>
      </c>
      <c r="P100" s="37">
        <f t="shared" si="18"/>
        <v>2.8606060716279007</v>
      </c>
      <c r="Q100" s="37">
        <f t="shared" si="19"/>
        <v>2.0191146680679402</v>
      </c>
      <c r="R100" s="39">
        <f t="shared" si="20"/>
        <v>20.141134510261452</v>
      </c>
    </row>
    <row r="101" spans="2:18" customFormat="1" x14ac:dyDescent="0.25">
      <c r="B101" s="19" t="s">
        <v>1067</v>
      </c>
      <c r="C101" s="3" t="s">
        <v>166</v>
      </c>
      <c r="D101" s="3">
        <v>8.25</v>
      </c>
      <c r="E101" s="3">
        <v>20.722406333115114</v>
      </c>
      <c r="F101" s="3">
        <v>540</v>
      </c>
      <c r="G101" s="4">
        <v>16.89</v>
      </c>
      <c r="H101" s="7"/>
      <c r="I101" s="7"/>
      <c r="J101" s="38">
        <f t="shared" si="21"/>
        <v>18.077651805647008</v>
      </c>
      <c r="K101" s="37">
        <f t="shared" si="22"/>
        <v>18.800000072435907</v>
      </c>
      <c r="L101" s="37">
        <f t="shared" si="23"/>
        <v>12.026963799296482</v>
      </c>
      <c r="M101" s="39">
        <f t="shared" si="24"/>
        <v>82.409495484805689</v>
      </c>
      <c r="N101" s="117"/>
      <c r="O101" s="38">
        <f t="shared" si="17"/>
        <v>2.1912305218966068</v>
      </c>
      <c r="P101" s="37">
        <f t="shared" si="18"/>
        <v>2.2787878875679888</v>
      </c>
      <c r="Q101" s="37">
        <f t="shared" si="19"/>
        <v>1.4578137938541189</v>
      </c>
      <c r="R101" s="39">
        <f t="shared" si="20"/>
        <v>9.9890297557340233</v>
      </c>
    </row>
    <row r="102" spans="2:18" customFormat="1" x14ac:dyDescent="0.25">
      <c r="B102" s="19" t="s">
        <v>1067</v>
      </c>
      <c r="C102" s="3" t="s">
        <v>167</v>
      </c>
      <c r="D102" s="3">
        <v>4.166666666666667</v>
      </c>
      <c r="E102" s="3">
        <v>28.025986027439153</v>
      </c>
      <c r="F102" s="3">
        <v>1040</v>
      </c>
      <c r="G102" s="4">
        <v>16.29</v>
      </c>
      <c r="H102" s="7"/>
      <c r="I102" s="7"/>
      <c r="J102" s="38">
        <f t="shared" si="21"/>
        <v>14.627739039622734</v>
      </c>
      <c r="K102" s="37">
        <f t="shared" si="22"/>
        <v>14.740000374832702</v>
      </c>
      <c r="L102" s="37">
        <f t="shared" si="23"/>
        <v>18.471303715778163</v>
      </c>
      <c r="M102" s="39">
        <f t="shared" si="24"/>
        <v>113.6182414031816</v>
      </c>
      <c r="N102" s="117"/>
      <c r="O102" s="38">
        <f t="shared" si="17"/>
        <v>3.5106573695094556</v>
      </c>
      <c r="P102" s="37">
        <f t="shared" si="18"/>
        <v>3.5376000899598483</v>
      </c>
      <c r="Q102" s="37">
        <f t="shared" si="19"/>
        <v>4.4331128917867586</v>
      </c>
      <c r="R102" s="39">
        <f t="shared" si="20"/>
        <v>27.268377936763581</v>
      </c>
    </row>
    <row r="103" spans="2:18" customFormat="1" x14ac:dyDescent="0.25">
      <c r="B103" s="19" t="s">
        <v>1067</v>
      </c>
      <c r="C103" s="3" t="s">
        <v>168</v>
      </c>
      <c r="D103" s="3">
        <v>5.5</v>
      </c>
      <c r="E103" s="3">
        <v>29.115148260283796</v>
      </c>
      <c r="F103" s="3">
        <v>1140</v>
      </c>
      <c r="G103" s="4">
        <v>17.61</v>
      </c>
      <c r="H103" s="7"/>
      <c r="I103" s="7"/>
      <c r="J103" s="38">
        <f t="shared" ref="J103:J134" si="25">EXP(2.476769 -3.669808/D103+ 0.048356*E103-0.000258*F103)</f>
        <v>18.602635999713396</v>
      </c>
      <c r="K103" s="37">
        <f t="shared" ref="K103:K134" si="26">EXP(LN(E103) -4.589766 * (1/D103- 0.1))</f>
        <v>20.000000297229406</v>
      </c>
      <c r="L103" s="37">
        <f t="shared" ref="L103:L134" si="27">EXP(0.780617 -7.094758/D103+ 0.092946*E103+ 0.001186*F103)</f>
        <v>34.772872961444769</v>
      </c>
      <c r="M103" s="39">
        <f t="shared" ref="M103:M134" si="28">EXP(1.918322 -11.678936/D103+ 0.160806*E103+ 0.001068*F103)</f>
        <v>297.16561868565947</v>
      </c>
      <c r="N103" s="117"/>
      <c r="O103" s="38">
        <f t="shared" si="17"/>
        <v>3.3822974544933446</v>
      </c>
      <c r="P103" s="37">
        <f t="shared" si="18"/>
        <v>3.6363636904053465</v>
      </c>
      <c r="Q103" s="37">
        <f t="shared" si="19"/>
        <v>6.3223405384445037</v>
      </c>
      <c r="R103" s="39">
        <f t="shared" si="20"/>
        <v>54.030112488301718</v>
      </c>
    </row>
    <row r="104" spans="2:18" customFormat="1" x14ac:dyDescent="0.25">
      <c r="B104" s="19" t="s">
        <v>1067</v>
      </c>
      <c r="C104" s="3" t="s">
        <v>169</v>
      </c>
      <c r="D104" s="3">
        <v>9.6666666666666661</v>
      </c>
      <c r="E104" s="3">
        <v>29.462627916462395</v>
      </c>
      <c r="F104" s="3">
        <v>400</v>
      </c>
      <c r="G104" s="4">
        <v>27.03</v>
      </c>
      <c r="H104" s="7"/>
      <c r="I104" s="7"/>
      <c r="J104" s="38">
        <f t="shared" si="25"/>
        <v>30.527518574725203</v>
      </c>
      <c r="K104" s="37">
        <f t="shared" si="26"/>
        <v>29.000000018164027</v>
      </c>
      <c r="L104" s="37">
        <f t="shared" si="27"/>
        <v>26.036774214225236</v>
      </c>
      <c r="M104" s="39">
        <f t="shared" si="28"/>
        <v>356.06865081582504</v>
      </c>
      <c r="N104" s="117"/>
      <c r="O104" s="38">
        <f t="shared" si="17"/>
        <v>3.1580191629026073</v>
      </c>
      <c r="P104" s="37">
        <f t="shared" si="18"/>
        <v>3.0000000018790374</v>
      </c>
      <c r="Q104" s="37">
        <f t="shared" si="19"/>
        <v>2.6934594014715763</v>
      </c>
      <c r="R104" s="39">
        <f t="shared" si="20"/>
        <v>36.834688015430181</v>
      </c>
    </row>
    <row r="105" spans="2:18" customFormat="1" x14ac:dyDescent="0.25">
      <c r="B105" s="19" t="s">
        <v>1067</v>
      </c>
      <c r="C105" s="3" t="s">
        <v>170</v>
      </c>
      <c r="D105" s="3">
        <v>9.6666666666666661</v>
      </c>
      <c r="E105" s="3">
        <v>26.414769856138697</v>
      </c>
      <c r="F105" s="3">
        <v>540</v>
      </c>
      <c r="G105" s="4">
        <v>15.91</v>
      </c>
      <c r="H105" s="7"/>
      <c r="I105" s="7"/>
      <c r="J105" s="38">
        <f t="shared" si="25"/>
        <v>25.409580827050497</v>
      </c>
      <c r="K105" s="37">
        <f t="shared" si="26"/>
        <v>26.000000016284989</v>
      </c>
      <c r="L105" s="37">
        <f t="shared" si="27"/>
        <v>23.156226700046769</v>
      </c>
      <c r="M105" s="39">
        <f t="shared" si="28"/>
        <v>253.28863503229573</v>
      </c>
      <c r="N105" s="117"/>
      <c r="O105" s="38">
        <f t="shared" si="17"/>
        <v>2.6285773269362585</v>
      </c>
      <c r="P105" s="37">
        <f t="shared" si="18"/>
        <v>2.6896551740984473</v>
      </c>
      <c r="Q105" s="37">
        <f t="shared" si="19"/>
        <v>2.3954717275910453</v>
      </c>
      <c r="R105" s="39">
        <f t="shared" si="20"/>
        <v>26.202272589547835</v>
      </c>
    </row>
    <row r="106" spans="2:18" customFormat="1" x14ac:dyDescent="0.25">
      <c r="B106" s="19" t="s">
        <v>1067</v>
      </c>
      <c r="C106" s="3" t="s">
        <v>171</v>
      </c>
      <c r="D106" s="3">
        <v>4.166666666666667</v>
      </c>
      <c r="E106" s="3">
        <v>15.305915028553953</v>
      </c>
      <c r="F106" s="3">
        <v>1010</v>
      </c>
      <c r="G106" s="4">
        <v>13.34</v>
      </c>
      <c r="H106" s="7"/>
      <c r="I106" s="7"/>
      <c r="J106" s="38">
        <f t="shared" si="25"/>
        <v>7.9690708662823875</v>
      </c>
      <c r="K106" s="37">
        <f t="shared" si="26"/>
        <v>8.0500002047085015</v>
      </c>
      <c r="L106" s="37">
        <f t="shared" si="27"/>
        <v>5.4649701426851269</v>
      </c>
      <c r="M106" s="39">
        <f t="shared" si="28"/>
        <v>14.229828102352048</v>
      </c>
      <c r="N106" s="117"/>
      <c r="O106" s="38">
        <f t="shared" si="17"/>
        <v>1.9125770079077729</v>
      </c>
      <c r="P106" s="37">
        <f t="shared" si="18"/>
        <v>1.9320000491300402</v>
      </c>
      <c r="Q106" s="37">
        <f t="shared" si="19"/>
        <v>1.3115928342444303</v>
      </c>
      <c r="R106" s="39">
        <f t="shared" si="20"/>
        <v>3.4151587445644913</v>
      </c>
    </row>
    <row r="107" spans="2:18" customFormat="1" x14ac:dyDescent="0.25">
      <c r="B107" s="19" t="s">
        <v>1067</v>
      </c>
      <c r="C107" s="3" t="s">
        <v>172</v>
      </c>
      <c r="D107" s="3">
        <v>10.166666666666666</v>
      </c>
      <c r="E107" s="3">
        <v>24.812600728176989</v>
      </c>
      <c r="F107" s="3">
        <v>620</v>
      </c>
      <c r="G107" s="4">
        <v>21.44</v>
      </c>
      <c r="H107" s="7"/>
      <c r="I107" s="7"/>
      <c r="J107" s="38">
        <f t="shared" si="25"/>
        <v>23.469046894140998</v>
      </c>
      <c r="K107" s="37">
        <f t="shared" si="26"/>
        <v>24.999999992555729</v>
      </c>
      <c r="L107" s="37">
        <f t="shared" si="27"/>
        <v>22.744513195767826</v>
      </c>
      <c r="M107" s="39">
        <f t="shared" si="28"/>
        <v>226.27459173313395</v>
      </c>
      <c r="N107" s="117"/>
      <c r="O107" s="38">
        <f t="shared" si="17"/>
        <v>2.3084308420466555</v>
      </c>
      <c r="P107" s="37">
        <f t="shared" si="18"/>
        <v>2.4590163927103998</v>
      </c>
      <c r="Q107" s="37">
        <f t="shared" si="19"/>
        <v>2.2371652323706059</v>
      </c>
      <c r="R107" s="39">
        <f t="shared" si="20"/>
        <v>22.256517219652519</v>
      </c>
    </row>
    <row r="108" spans="2:18" customFormat="1" x14ac:dyDescent="0.25">
      <c r="B108" s="19" t="s">
        <v>1067</v>
      </c>
      <c r="C108" s="3" t="s">
        <v>173</v>
      </c>
      <c r="D108" s="3">
        <v>10.166666666666666</v>
      </c>
      <c r="E108" s="3">
        <v>25.209602339827821</v>
      </c>
      <c r="F108" s="3">
        <v>600</v>
      </c>
      <c r="G108" s="4">
        <v>20.54</v>
      </c>
      <c r="H108" s="7"/>
      <c r="I108" s="7"/>
      <c r="J108" s="38">
        <f t="shared" si="25"/>
        <v>24.047710858749433</v>
      </c>
      <c r="K108" s="37">
        <f t="shared" si="26"/>
        <v>25.399999992436619</v>
      </c>
      <c r="L108" s="37">
        <f t="shared" si="27"/>
        <v>23.046263447372006</v>
      </c>
      <c r="M108" s="39">
        <f t="shared" si="28"/>
        <v>236.09387717725681</v>
      </c>
      <c r="N108" s="117"/>
      <c r="O108" s="38">
        <f t="shared" si="17"/>
        <v>2.3653486090573215</v>
      </c>
      <c r="P108" s="37">
        <f t="shared" si="18"/>
        <v>2.4983606549937658</v>
      </c>
      <c r="Q108" s="37">
        <f t="shared" si="19"/>
        <v>2.2668455849874105</v>
      </c>
      <c r="R108" s="39">
        <f t="shared" si="20"/>
        <v>23.222348574812148</v>
      </c>
    </row>
    <row r="109" spans="2:18" customFormat="1" x14ac:dyDescent="0.25">
      <c r="B109" s="19" t="s">
        <v>1067</v>
      </c>
      <c r="C109" s="3" t="s">
        <v>174</v>
      </c>
      <c r="D109" s="3">
        <v>2.8333333333333335</v>
      </c>
      <c r="E109" s="3">
        <v>25.926640009480213</v>
      </c>
      <c r="F109" s="3">
        <v>980</v>
      </c>
      <c r="G109" s="4">
        <v>9.24</v>
      </c>
      <c r="H109" s="7"/>
      <c r="I109" s="7"/>
      <c r="J109" s="38">
        <f t="shared" si="25"/>
        <v>8.8676626641772689</v>
      </c>
      <c r="K109" s="37">
        <f t="shared" si="26"/>
        <v>8.1200003730675938</v>
      </c>
      <c r="L109" s="37">
        <f t="shared" si="27"/>
        <v>6.3511903182270721</v>
      </c>
      <c r="M109" s="39">
        <f t="shared" si="28"/>
        <v>20.330939958125747</v>
      </c>
      <c r="N109" s="117"/>
      <c r="O109" s="38">
        <f t="shared" si="17"/>
        <v>3.1297632932390358</v>
      </c>
      <c r="P109" s="37">
        <f t="shared" si="18"/>
        <v>2.8658824846120918</v>
      </c>
      <c r="Q109" s="37">
        <f t="shared" si="19"/>
        <v>2.2415965829036724</v>
      </c>
      <c r="R109" s="39">
        <f t="shared" si="20"/>
        <v>7.1756258675737925</v>
      </c>
    </row>
    <row r="110" spans="2:18" customFormat="1" x14ac:dyDescent="0.25">
      <c r="B110" s="19" t="s">
        <v>1067</v>
      </c>
      <c r="C110" s="3" t="s">
        <v>175</v>
      </c>
      <c r="D110" s="3">
        <v>2.8333333333333335</v>
      </c>
      <c r="E110" s="3">
        <v>29.055717252003685</v>
      </c>
      <c r="F110" s="3">
        <v>1120</v>
      </c>
      <c r="G110" s="4">
        <v>11.96</v>
      </c>
      <c r="H110" s="7"/>
      <c r="I110" s="7"/>
      <c r="J110" s="38">
        <f t="shared" si="25"/>
        <v>9.9502821792970053</v>
      </c>
      <c r="K110" s="37">
        <f t="shared" si="26"/>
        <v>9.1000004180929928</v>
      </c>
      <c r="L110" s="37">
        <f t="shared" si="27"/>
        <v>10.0293667101145</v>
      </c>
      <c r="M110" s="39">
        <f t="shared" si="28"/>
        <v>39.04981960407229</v>
      </c>
      <c r="N110" s="117"/>
      <c r="O110" s="38">
        <f t="shared" si="17"/>
        <v>3.5118642985754134</v>
      </c>
      <c r="P110" s="37">
        <f t="shared" si="18"/>
        <v>3.2117648534445857</v>
      </c>
      <c r="Q110" s="37">
        <f t="shared" si="19"/>
        <v>3.5397764859227645</v>
      </c>
      <c r="R110" s="39">
        <f t="shared" si="20"/>
        <v>13.782289272025514</v>
      </c>
    </row>
    <row r="111" spans="2:18" customFormat="1" x14ac:dyDescent="0.25">
      <c r="B111" s="19" t="s">
        <v>1067</v>
      </c>
      <c r="C111" s="3" t="s">
        <v>176</v>
      </c>
      <c r="D111" s="3">
        <v>8</v>
      </c>
      <c r="E111" s="3">
        <v>16.767717398518162</v>
      </c>
      <c r="F111" s="3">
        <v>290</v>
      </c>
      <c r="G111" s="4">
        <v>21.3</v>
      </c>
      <c r="H111" s="7"/>
      <c r="I111" s="7"/>
      <c r="J111" s="38">
        <f t="shared" si="25"/>
        <v>15.705999019475415</v>
      </c>
      <c r="K111" s="37">
        <f t="shared" si="26"/>
        <v>14.950000067888025</v>
      </c>
      <c r="L111" s="37">
        <f t="shared" si="27"/>
        <v>6.0267296156899546</v>
      </c>
      <c r="M111" s="39">
        <f t="shared" si="28"/>
        <v>31.96126062595501</v>
      </c>
      <c r="N111" s="117"/>
      <c r="O111" s="38">
        <f t="shared" si="17"/>
        <v>1.9632498774344269</v>
      </c>
      <c r="P111" s="37">
        <f t="shared" si="18"/>
        <v>1.8687500084860031</v>
      </c>
      <c r="Q111" s="37">
        <f t="shared" si="19"/>
        <v>0.75334120196124432</v>
      </c>
      <c r="R111" s="39">
        <f t="shared" si="20"/>
        <v>3.9951575782443762</v>
      </c>
    </row>
    <row r="112" spans="2:18" customFormat="1" x14ac:dyDescent="0.25">
      <c r="B112" s="19" t="s">
        <v>1067</v>
      </c>
      <c r="C112" s="3" t="s">
        <v>177</v>
      </c>
      <c r="D112" s="3">
        <v>8</v>
      </c>
      <c r="E112" s="3">
        <v>19.347366229059414</v>
      </c>
      <c r="F112" s="3">
        <v>270</v>
      </c>
      <c r="G112" s="4">
        <v>22.22</v>
      </c>
      <c r="H112" s="7"/>
      <c r="I112" s="7"/>
      <c r="J112" s="38">
        <f t="shared" si="25"/>
        <v>17.884675723949218</v>
      </c>
      <c r="K112" s="37">
        <f t="shared" si="26"/>
        <v>17.250000078332338</v>
      </c>
      <c r="L112" s="37">
        <f t="shared" si="27"/>
        <v>7.4801478028177373</v>
      </c>
      <c r="M112" s="39">
        <f t="shared" si="28"/>
        <v>47.369926903147324</v>
      </c>
      <c r="N112" s="117"/>
      <c r="O112" s="38">
        <f t="shared" si="17"/>
        <v>2.2355844654936523</v>
      </c>
      <c r="P112" s="37">
        <f t="shared" si="18"/>
        <v>2.1562500097915422</v>
      </c>
      <c r="Q112" s="37">
        <f t="shared" si="19"/>
        <v>0.93501847535221716</v>
      </c>
      <c r="R112" s="39">
        <f t="shared" si="20"/>
        <v>5.9212408628934154</v>
      </c>
    </row>
    <row r="113" spans="2:18" customFormat="1" x14ac:dyDescent="0.25">
      <c r="B113" s="19" t="s">
        <v>1067</v>
      </c>
      <c r="C113" s="3" t="s">
        <v>178</v>
      </c>
      <c r="D113" s="3">
        <v>8</v>
      </c>
      <c r="E113" s="3">
        <v>17.149056790859039</v>
      </c>
      <c r="F113" s="3">
        <v>300</v>
      </c>
      <c r="G113" s="4">
        <v>18.170000000000002</v>
      </c>
      <c r="H113" s="7"/>
      <c r="I113" s="7"/>
      <c r="J113" s="38">
        <f t="shared" si="25"/>
        <v>15.957082749235122</v>
      </c>
      <c r="K113" s="37">
        <f t="shared" si="26"/>
        <v>15.290000069431963</v>
      </c>
      <c r="L113" s="37">
        <f t="shared" si="27"/>
        <v>6.3186683540412494</v>
      </c>
      <c r="M113" s="39">
        <f t="shared" si="28"/>
        <v>34.347396631179535</v>
      </c>
      <c r="N113" s="117"/>
      <c r="O113" s="38">
        <f t="shared" si="17"/>
        <v>1.9946353436543902</v>
      </c>
      <c r="P113" s="37">
        <f t="shared" si="18"/>
        <v>1.9112500086789954</v>
      </c>
      <c r="Q113" s="37">
        <f t="shared" si="19"/>
        <v>0.78983354425515617</v>
      </c>
      <c r="R113" s="39">
        <f t="shared" si="20"/>
        <v>4.2934245788974419</v>
      </c>
    </row>
    <row r="114" spans="2:18" customFormat="1" x14ac:dyDescent="0.25">
      <c r="B114" s="19" t="s">
        <v>1067</v>
      </c>
      <c r="C114" s="3" t="s">
        <v>179</v>
      </c>
      <c r="D114" s="3">
        <v>9.9166666666666661</v>
      </c>
      <c r="E114" s="3">
        <v>20.35836990952274</v>
      </c>
      <c r="F114" s="3">
        <v>1120</v>
      </c>
      <c r="G114" s="4">
        <v>18.28</v>
      </c>
      <c r="H114" s="7"/>
      <c r="I114" s="7"/>
      <c r="J114" s="38">
        <f t="shared" si="25"/>
        <v>16.480760381581145</v>
      </c>
      <c r="K114" s="37">
        <f t="shared" si="26"/>
        <v>20.280000003095516</v>
      </c>
      <c r="L114" s="37">
        <f t="shared" si="27"/>
        <v>26.728442700691296</v>
      </c>
      <c r="M114" s="39">
        <f t="shared" si="28"/>
        <v>183.18969483146577</v>
      </c>
      <c r="N114" s="117"/>
      <c r="O114" s="38">
        <f t="shared" si="17"/>
        <v>1.6619254166300315</v>
      </c>
      <c r="P114" s="37">
        <f t="shared" si="18"/>
        <v>2.0450420171188757</v>
      </c>
      <c r="Q114" s="37">
        <f t="shared" si="19"/>
        <v>2.6953051462881983</v>
      </c>
      <c r="R114" s="39">
        <f t="shared" si="20"/>
        <v>18.472910403173021</v>
      </c>
    </row>
    <row r="115" spans="2:18" customFormat="1" x14ac:dyDescent="0.25">
      <c r="B115" s="19" t="s">
        <v>1067</v>
      </c>
      <c r="C115" s="3" t="s">
        <v>180</v>
      </c>
      <c r="D115" s="3">
        <v>7</v>
      </c>
      <c r="E115" s="3">
        <v>10.006896186791762</v>
      </c>
      <c r="F115" s="3">
        <v>900</v>
      </c>
      <c r="G115" s="4">
        <v>6.97</v>
      </c>
      <c r="H115" s="7"/>
      <c r="I115" s="7"/>
      <c r="J115" s="38">
        <f t="shared" si="25"/>
        <v>9.063036208765439</v>
      </c>
      <c r="K115" s="37">
        <f t="shared" si="26"/>
        <v>8.2200000639892465</v>
      </c>
      <c r="L115" s="37">
        <f t="shared" si="27"/>
        <v>5.8391259283457915</v>
      </c>
      <c r="M115" s="39">
        <f t="shared" si="28"/>
        <v>16.781406535100178</v>
      </c>
      <c r="N115" s="117"/>
      <c r="O115" s="38">
        <f t="shared" si="17"/>
        <v>1.2947194583950628</v>
      </c>
      <c r="P115" s="37">
        <f t="shared" si="18"/>
        <v>1.1742857234270352</v>
      </c>
      <c r="Q115" s="37">
        <f t="shared" si="19"/>
        <v>0.83416084690654169</v>
      </c>
      <c r="R115" s="39">
        <f t="shared" si="20"/>
        <v>2.397343790728597</v>
      </c>
    </row>
    <row r="116" spans="2:18" customFormat="1" x14ac:dyDescent="0.25">
      <c r="B116" s="19" t="s">
        <v>1067</v>
      </c>
      <c r="C116" s="3" t="s">
        <v>181</v>
      </c>
      <c r="D116" s="3">
        <v>7</v>
      </c>
      <c r="E116" s="3">
        <v>11.784276774713412</v>
      </c>
      <c r="F116" s="3">
        <v>1080</v>
      </c>
      <c r="G116" s="4">
        <v>8.32</v>
      </c>
      <c r="H116" s="7"/>
      <c r="I116" s="7"/>
      <c r="J116" s="38">
        <f t="shared" si="25"/>
        <v>9.4282566047068084</v>
      </c>
      <c r="K116" s="37">
        <f t="shared" si="26"/>
        <v>9.6800000753547319</v>
      </c>
      <c r="L116" s="37">
        <f t="shared" si="27"/>
        <v>8.52720407230915</v>
      </c>
      <c r="M116" s="39">
        <f t="shared" si="28"/>
        <v>27.067262788512945</v>
      </c>
      <c r="N116" s="117"/>
      <c r="O116" s="38">
        <f t="shared" si="17"/>
        <v>1.3468938006724012</v>
      </c>
      <c r="P116" s="37">
        <f t="shared" si="18"/>
        <v>1.3828571536221046</v>
      </c>
      <c r="Q116" s="37">
        <f t="shared" si="19"/>
        <v>1.2181720103298785</v>
      </c>
      <c r="R116" s="39">
        <f t="shared" si="20"/>
        <v>3.8667518269304209</v>
      </c>
    </row>
    <row r="117" spans="2:18" customFormat="1" x14ac:dyDescent="0.25">
      <c r="B117" s="19" t="s">
        <v>1067</v>
      </c>
      <c r="C117" s="3" t="s">
        <v>182</v>
      </c>
      <c r="D117" s="3">
        <v>6.666666666666667</v>
      </c>
      <c r="E117" s="3">
        <v>8.7427953153014002</v>
      </c>
      <c r="F117" s="3">
        <v>720</v>
      </c>
      <c r="G117" s="4">
        <v>10.07</v>
      </c>
      <c r="H117" s="7"/>
      <c r="I117" s="7"/>
      <c r="J117" s="38">
        <f t="shared" si="25"/>
        <v>8.6998380475811441</v>
      </c>
      <c r="K117" s="37">
        <f t="shared" si="26"/>
        <v>6.9500000631199672</v>
      </c>
      <c r="L117" s="37">
        <f t="shared" si="27"/>
        <v>3.9865697660172188</v>
      </c>
      <c r="M117" s="39">
        <f t="shared" si="28"/>
        <v>10.395110417964389</v>
      </c>
      <c r="N117" s="117"/>
      <c r="O117" s="38">
        <f t="shared" si="17"/>
        <v>1.3049757071371715</v>
      </c>
      <c r="P117" s="37">
        <f t="shared" si="18"/>
        <v>1.042500009467995</v>
      </c>
      <c r="Q117" s="37">
        <f t="shared" si="19"/>
        <v>0.59798546490258275</v>
      </c>
      <c r="R117" s="39">
        <f t="shared" si="20"/>
        <v>1.5592665626946582</v>
      </c>
    </row>
    <row r="118" spans="2:18" customFormat="1" x14ac:dyDescent="0.25">
      <c r="B118" s="19" t="s">
        <v>1067</v>
      </c>
      <c r="C118" s="3" t="s">
        <v>183</v>
      </c>
      <c r="D118" s="3">
        <v>6.666666666666667</v>
      </c>
      <c r="E118" s="3">
        <v>12.453765988702717</v>
      </c>
      <c r="F118" s="3">
        <v>740</v>
      </c>
      <c r="G118" s="4">
        <v>14.16</v>
      </c>
      <c r="H118" s="7"/>
      <c r="I118" s="7"/>
      <c r="J118" s="38">
        <f t="shared" si="25"/>
        <v>10.356269738585709</v>
      </c>
      <c r="K118" s="37">
        <f t="shared" si="26"/>
        <v>9.9000000899118987</v>
      </c>
      <c r="L118" s="37">
        <f t="shared" si="27"/>
        <v>5.7636504554053269</v>
      </c>
      <c r="M118" s="39">
        <f t="shared" si="28"/>
        <v>19.287204438493951</v>
      </c>
      <c r="N118" s="117"/>
      <c r="O118" s="38">
        <f t="shared" si="17"/>
        <v>1.5534404607878562</v>
      </c>
      <c r="P118" s="37">
        <f t="shared" si="18"/>
        <v>1.4850000134867847</v>
      </c>
      <c r="Q118" s="37">
        <f t="shared" si="19"/>
        <v>0.86454756831079904</v>
      </c>
      <c r="R118" s="39">
        <f t="shared" si="20"/>
        <v>2.8930806657740926</v>
      </c>
    </row>
    <row r="119" spans="2:18" customFormat="1" x14ac:dyDescent="0.25">
      <c r="B119" s="19" t="s">
        <v>1067</v>
      </c>
      <c r="C119" s="3" t="s">
        <v>184</v>
      </c>
      <c r="D119" s="3">
        <v>6.666666666666667</v>
      </c>
      <c r="E119" s="3">
        <v>9.8749558597289191</v>
      </c>
      <c r="F119" s="3">
        <v>500</v>
      </c>
      <c r="G119" s="4">
        <v>12.95</v>
      </c>
      <c r="H119" s="7"/>
      <c r="I119" s="7"/>
      <c r="J119" s="38">
        <f t="shared" si="25"/>
        <v>9.7260822197835193</v>
      </c>
      <c r="K119" s="37">
        <f t="shared" si="26"/>
        <v>7.8500000712937759</v>
      </c>
      <c r="L119" s="37">
        <f t="shared" si="27"/>
        <v>3.4118031936990483</v>
      </c>
      <c r="M119" s="39">
        <f t="shared" si="28"/>
        <v>9.8594831855241001</v>
      </c>
      <c r="N119" s="117"/>
      <c r="O119" s="38">
        <f t="shared" si="17"/>
        <v>1.4589123329675278</v>
      </c>
      <c r="P119" s="37">
        <f t="shared" si="18"/>
        <v>1.1775000106940663</v>
      </c>
      <c r="Q119" s="37">
        <f t="shared" si="19"/>
        <v>0.51177047905485717</v>
      </c>
      <c r="R119" s="39">
        <f t="shared" si="20"/>
        <v>1.478922477828615</v>
      </c>
    </row>
    <row r="120" spans="2:18" customFormat="1" x14ac:dyDescent="0.25">
      <c r="B120" s="19" t="s">
        <v>1067</v>
      </c>
      <c r="C120" s="3" t="s">
        <v>185</v>
      </c>
      <c r="D120" s="3">
        <v>6.666666666666667</v>
      </c>
      <c r="E120" s="3">
        <v>7.8622260029688862</v>
      </c>
      <c r="F120" s="3">
        <v>420</v>
      </c>
      <c r="G120" s="4">
        <v>9.92</v>
      </c>
      <c r="H120" s="7"/>
      <c r="I120" s="7"/>
      <c r="J120" s="38">
        <f t="shared" si="25"/>
        <v>9.0080948475530143</v>
      </c>
      <c r="K120" s="37">
        <f t="shared" si="26"/>
        <v>6.2500000567625618</v>
      </c>
      <c r="L120" s="37">
        <f t="shared" si="27"/>
        <v>2.5735486858338557</v>
      </c>
      <c r="M120" s="39">
        <f t="shared" si="28"/>
        <v>6.5491463612906795</v>
      </c>
      <c r="N120" s="117"/>
      <c r="O120" s="38">
        <f t="shared" si="17"/>
        <v>1.3512142271329521</v>
      </c>
      <c r="P120" s="37">
        <f t="shared" si="18"/>
        <v>0.9375000085143842</v>
      </c>
      <c r="Q120" s="37">
        <f t="shared" si="19"/>
        <v>0.38603230287507834</v>
      </c>
      <c r="R120" s="39">
        <f t="shared" si="20"/>
        <v>0.9823719541936019</v>
      </c>
    </row>
    <row r="121" spans="2:18" customFormat="1" x14ac:dyDescent="0.25">
      <c r="B121" s="19" t="s">
        <v>1067</v>
      </c>
      <c r="C121" s="3" t="s">
        <v>186</v>
      </c>
      <c r="D121" s="3">
        <v>6.666666666666667</v>
      </c>
      <c r="E121" s="3">
        <v>12.76825502882147</v>
      </c>
      <c r="F121" s="3">
        <v>870</v>
      </c>
      <c r="G121" s="4">
        <v>14.5</v>
      </c>
      <c r="H121" s="7"/>
      <c r="I121" s="7"/>
      <c r="J121" s="38">
        <f t="shared" si="25"/>
        <v>10.168142416918881</v>
      </c>
      <c r="K121" s="37">
        <f t="shared" si="26"/>
        <v>10.150000092182399</v>
      </c>
      <c r="L121" s="37">
        <f t="shared" si="27"/>
        <v>6.9239161826822562</v>
      </c>
      <c r="M121" s="39">
        <f t="shared" si="28"/>
        <v>23.309327868567728</v>
      </c>
      <c r="N121" s="117"/>
      <c r="O121" s="38">
        <f t="shared" si="17"/>
        <v>1.5252213625378321</v>
      </c>
      <c r="P121" s="37">
        <f t="shared" si="18"/>
        <v>1.5225000138273597</v>
      </c>
      <c r="Q121" s="37">
        <f t="shared" si="19"/>
        <v>1.0385874274023383</v>
      </c>
      <c r="R121" s="39">
        <f t="shared" si="20"/>
        <v>3.4963991802851591</v>
      </c>
    </row>
    <row r="122" spans="2:18" customFormat="1" x14ac:dyDescent="0.25">
      <c r="B122" s="19" t="s">
        <v>1067</v>
      </c>
      <c r="C122" s="3" t="s">
        <v>187</v>
      </c>
      <c r="D122" s="3">
        <v>6.666666666666667</v>
      </c>
      <c r="E122" s="3">
        <v>12.57956160475022</v>
      </c>
      <c r="F122" s="3">
        <v>860</v>
      </c>
      <c r="G122" s="4">
        <v>13.61</v>
      </c>
      <c r="H122" s="7"/>
      <c r="I122" s="7"/>
      <c r="J122" s="38">
        <f t="shared" si="25"/>
        <v>10.101814699839075</v>
      </c>
      <c r="K122" s="37">
        <f t="shared" si="26"/>
        <v>10.0000000908201</v>
      </c>
      <c r="L122" s="37">
        <f t="shared" si="27"/>
        <v>6.7233277503946418</v>
      </c>
      <c r="M122" s="39">
        <f t="shared" si="28"/>
        <v>22.372456537849772</v>
      </c>
      <c r="N122" s="117"/>
      <c r="O122" s="38">
        <f t="shared" si="17"/>
        <v>1.5152722049758611</v>
      </c>
      <c r="P122" s="37">
        <f t="shared" si="18"/>
        <v>1.5000000136230149</v>
      </c>
      <c r="Q122" s="37">
        <f t="shared" si="19"/>
        <v>1.0084991625591961</v>
      </c>
      <c r="R122" s="39">
        <f t="shared" si="20"/>
        <v>3.3558684806774655</v>
      </c>
    </row>
    <row r="123" spans="2:18" customFormat="1" x14ac:dyDescent="0.25">
      <c r="B123" s="19" t="s">
        <v>1067</v>
      </c>
      <c r="C123" s="3" t="s">
        <v>188</v>
      </c>
      <c r="D123" s="3">
        <v>6.666666666666667</v>
      </c>
      <c r="E123" s="3">
        <v>14.152006805343996</v>
      </c>
      <c r="F123" s="3">
        <v>670</v>
      </c>
      <c r="G123" s="4">
        <v>13.88</v>
      </c>
      <c r="H123" s="7"/>
      <c r="I123" s="7"/>
      <c r="J123" s="38">
        <f t="shared" si="25"/>
        <v>11.447510022635216</v>
      </c>
      <c r="K123" s="37">
        <f t="shared" si="26"/>
        <v>11.250000102172612</v>
      </c>
      <c r="L123" s="37">
        <f t="shared" si="27"/>
        <v>6.2114584567443236</v>
      </c>
      <c r="M123" s="39">
        <f t="shared" si="28"/>
        <v>23.518073398356123</v>
      </c>
      <c r="N123" s="117"/>
      <c r="O123" s="38">
        <f t="shared" si="17"/>
        <v>1.7171265033952823</v>
      </c>
      <c r="P123" s="37">
        <f t="shared" si="18"/>
        <v>1.6875000153258917</v>
      </c>
      <c r="Q123" s="37">
        <f t="shared" si="19"/>
        <v>0.93171876851164848</v>
      </c>
      <c r="R123" s="39">
        <f t="shared" si="20"/>
        <v>3.5277110097534181</v>
      </c>
    </row>
    <row r="124" spans="2:18" customFormat="1" x14ac:dyDescent="0.25">
      <c r="B124" s="19" t="s">
        <v>1067</v>
      </c>
      <c r="C124" s="3" t="s">
        <v>189</v>
      </c>
      <c r="D124" s="3">
        <v>6.666666666666667</v>
      </c>
      <c r="E124" s="3">
        <v>13.523028725106482</v>
      </c>
      <c r="F124" s="3">
        <v>680</v>
      </c>
      <c r="G124" s="4">
        <v>14.19</v>
      </c>
      <c r="H124" s="7"/>
      <c r="I124" s="7"/>
      <c r="J124" s="38">
        <f t="shared" si="25"/>
        <v>11.075964243656498</v>
      </c>
      <c r="K124" s="37">
        <f t="shared" si="26"/>
        <v>10.750000097631604</v>
      </c>
      <c r="L124" s="37">
        <f t="shared" si="27"/>
        <v>5.9286393093385961</v>
      </c>
      <c r="M124" s="39">
        <f t="shared" si="28"/>
        <v>21.483941673731746</v>
      </c>
      <c r="N124" s="117"/>
      <c r="O124" s="38">
        <f t="shared" si="17"/>
        <v>1.6613946365484746</v>
      </c>
      <c r="P124" s="37">
        <f t="shared" si="18"/>
        <v>1.6125000146447406</v>
      </c>
      <c r="Q124" s="37">
        <f t="shared" si="19"/>
        <v>0.88929589640078932</v>
      </c>
      <c r="R124" s="39">
        <f t="shared" si="20"/>
        <v>3.2225912510597619</v>
      </c>
    </row>
    <row r="125" spans="2:18" customFormat="1" x14ac:dyDescent="0.25">
      <c r="B125" s="19" t="s">
        <v>1067</v>
      </c>
      <c r="C125" s="3" t="s">
        <v>190</v>
      </c>
      <c r="D125" s="3">
        <v>6.666666666666667</v>
      </c>
      <c r="E125" s="3">
        <v>11.698992292417703</v>
      </c>
      <c r="F125" s="3">
        <v>730</v>
      </c>
      <c r="G125" s="4">
        <v>12.82</v>
      </c>
      <c r="H125" s="7"/>
      <c r="I125" s="7"/>
      <c r="J125" s="38">
        <f t="shared" si="25"/>
        <v>10.010897716681963</v>
      </c>
      <c r="K125" s="37">
        <f t="shared" si="26"/>
        <v>9.3000000844626936</v>
      </c>
      <c r="L125" s="37">
        <f t="shared" si="27"/>
        <v>5.3098194755854964</v>
      </c>
      <c r="M125" s="39">
        <f t="shared" si="28"/>
        <v>16.901286690687808</v>
      </c>
      <c r="N125" s="117"/>
      <c r="O125" s="38">
        <f t="shared" si="17"/>
        <v>1.5016346575022945</v>
      </c>
      <c r="P125" s="37">
        <f t="shared" si="18"/>
        <v>1.395000012669404</v>
      </c>
      <c r="Q125" s="37">
        <f t="shared" si="19"/>
        <v>0.79647292133782444</v>
      </c>
      <c r="R125" s="39">
        <f t="shared" si="20"/>
        <v>2.5351930036031711</v>
      </c>
    </row>
    <row r="126" spans="2:18" customFormat="1" x14ac:dyDescent="0.25">
      <c r="B126" s="19" t="s">
        <v>1067</v>
      </c>
      <c r="C126" s="3" t="s">
        <v>191</v>
      </c>
      <c r="D126" s="3">
        <v>6.666666666666667</v>
      </c>
      <c r="E126" s="3">
        <v>13.711722149177737</v>
      </c>
      <c r="F126" s="3">
        <v>830</v>
      </c>
      <c r="G126" s="4">
        <v>11.65</v>
      </c>
      <c r="H126" s="7"/>
      <c r="I126" s="7"/>
      <c r="J126" s="38">
        <f t="shared" si="25"/>
        <v>10.753183349216068</v>
      </c>
      <c r="K126" s="37">
        <f t="shared" si="26"/>
        <v>10.900000098993907</v>
      </c>
      <c r="L126" s="37">
        <f t="shared" si="27"/>
        <v>7.2082991855759619</v>
      </c>
      <c r="M126" s="39">
        <f t="shared" si="28"/>
        <v>25.993559399228833</v>
      </c>
      <c r="N126" s="117"/>
      <c r="O126" s="38">
        <f t="shared" si="17"/>
        <v>1.61297750238241</v>
      </c>
      <c r="P126" s="37">
        <f t="shared" si="18"/>
        <v>1.635000014849086</v>
      </c>
      <c r="Q126" s="37">
        <f t="shared" si="19"/>
        <v>1.0812448778363943</v>
      </c>
      <c r="R126" s="39">
        <f t="shared" si="20"/>
        <v>3.8990339098843245</v>
      </c>
    </row>
    <row r="127" spans="2:18" customFormat="1" x14ac:dyDescent="0.25">
      <c r="B127" s="19" t="s">
        <v>1067</v>
      </c>
      <c r="C127" s="3" t="s">
        <v>192</v>
      </c>
      <c r="D127" s="3">
        <v>6.666666666666667</v>
      </c>
      <c r="E127" s="3">
        <v>11.070014212180194</v>
      </c>
      <c r="F127" s="3">
        <v>710</v>
      </c>
      <c r="G127" s="4">
        <v>10.97</v>
      </c>
      <c r="H127" s="7"/>
      <c r="I127" s="7"/>
      <c r="J127" s="38">
        <f t="shared" si="25"/>
        <v>9.7612396652765447</v>
      </c>
      <c r="K127" s="37">
        <f t="shared" si="26"/>
        <v>8.8000000799216878</v>
      </c>
      <c r="L127" s="37">
        <f t="shared" si="27"/>
        <v>4.8909024715373111</v>
      </c>
      <c r="M127" s="39">
        <f t="shared" si="28"/>
        <v>14.952616562178735</v>
      </c>
      <c r="N127" s="117"/>
      <c r="O127" s="38">
        <f t="shared" si="17"/>
        <v>1.4641859497914818</v>
      </c>
      <c r="P127" s="37">
        <f t="shared" si="18"/>
        <v>1.3200000119882531</v>
      </c>
      <c r="Q127" s="37">
        <f t="shared" si="19"/>
        <v>0.73363537073059659</v>
      </c>
      <c r="R127" s="39">
        <f t="shared" si="20"/>
        <v>2.2428924843268101</v>
      </c>
    </row>
    <row r="128" spans="2:18" customFormat="1" x14ac:dyDescent="0.25">
      <c r="B128" s="19" t="s">
        <v>1067</v>
      </c>
      <c r="C128" s="3" t="s">
        <v>193</v>
      </c>
      <c r="D128" s="3">
        <v>2.9166666666666665</v>
      </c>
      <c r="E128" s="3">
        <v>28.960976905171972</v>
      </c>
      <c r="F128" s="3">
        <v>850</v>
      </c>
      <c r="G128" s="4">
        <v>11.61</v>
      </c>
      <c r="H128" s="7"/>
      <c r="I128" s="7"/>
      <c r="J128" s="38">
        <f t="shared" si="25"/>
        <v>11.019716897494101</v>
      </c>
      <c r="K128" s="37">
        <f t="shared" si="26"/>
        <v>9.500000419069881</v>
      </c>
      <c r="L128" s="37">
        <f t="shared" si="27"/>
        <v>7.7526560616656299</v>
      </c>
      <c r="M128" s="39">
        <f t="shared" si="28"/>
        <v>32.427739815510968</v>
      </c>
      <c r="N128" s="117"/>
      <c r="O128" s="38">
        <f t="shared" si="17"/>
        <v>3.7781886505694064</v>
      </c>
      <c r="P128" s="37">
        <f t="shared" si="18"/>
        <v>3.2571430008239592</v>
      </c>
      <c r="Q128" s="37">
        <f t="shared" si="19"/>
        <v>2.6580535068567874</v>
      </c>
      <c r="R128" s="39">
        <f t="shared" si="20"/>
        <v>11.118082222460904</v>
      </c>
    </row>
    <row r="129" spans="2:18" customFormat="1" x14ac:dyDescent="0.25">
      <c r="B129" s="19" t="s">
        <v>1067</v>
      </c>
      <c r="C129" s="3" t="s">
        <v>194</v>
      </c>
      <c r="D129" s="3">
        <v>2.9166666666666665</v>
      </c>
      <c r="E129" s="3">
        <v>21.065300043656659</v>
      </c>
      <c r="F129" s="3">
        <v>840</v>
      </c>
      <c r="G129" s="4">
        <v>8.77</v>
      </c>
      <c r="H129" s="7"/>
      <c r="I129" s="7"/>
      <c r="J129" s="38">
        <f t="shared" si="25"/>
        <v>7.5418142002963799</v>
      </c>
      <c r="K129" s="37">
        <f t="shared" si="26"/>
        <v>6.9100003048181966</v>
      </c>
      <c r="L129" s="37">
        <f t="shared" si="27"/>
        <v>3.6777601821101671</v>
      </c>
      <c r="M129" s="39">
        <f t="shared" si="28"/>
        <v>9.0129461986303063</v>
      </c>
      <c r="N129" s="117"/>
      <c r="O129" s="38">
        <f t="shared" si="17"/>
        <v>2.5857648686730448</v>
      </c>
      <c r="P129" s="37">
        <f t="shared" si="18"/>
        <v>2.3691429616519533</v>
      </c>
      <c r="Q129" s="37">
        <f t="shared" si="19"/>
        <v>1.2609463481520573</v>
      </c>
      <c r="R129" s="39">
        <f t="shared" si="20"/>
        <v>3.0901529823875338</v>
      </c>
    </row>
    <row r="130" spans="2:18" customFormat="1" x14ac:dyDescent="0.25">
      <c r="B130" s="19" t="s">
        <v>1067</v>
      </c>
      <c r="C130" s="3" t="s">
        <v>195</v>
      </c>
      <c r="D130" s="3">
        <v>2.9166666666666665</v>
      </c>
      <c r="E130" s="3">
        <v>25.150322049228283</v>
      </c>
      <c r="F130" s="3">
        <v>780</v>
      </c>
      <c r="G130" s="4">
        <v>9.51</v>
      </c>
      <c r="H130" s="7"/>
      <c r="I130" s="7"/>
      <c r="J130" s="38">
        <f t="shared" si="25"/>
        <v>9.3322681415055317</v>
      </c>
      <c r="K130" s="37">
        <f t="shared" si="26"/>
        <v>8.2500003639291055</v>
      </c>
      <c r="L130" s="37">
        <f t="shared" si="27"/>
        <v>5.0069671676910605</v>
      </c>
      <c r="M130" s="39">
        <f t="shared" si="28"/>
        <v>16.305101900625122</v>
      </c>
      <c r="N130" s="117"/>
      <c r="O130" s="38">
        <f t="shared" si="17"/>
        <v>3.1996347913733252</v>
      </c>
      <c r="P130" s="37">
        <f t="shared" si="18"/>
        <v>2.8285715533471221</v>
      </c>
      <c r="Q130" s="37">
        <f t="shared" si="19"/>
        <v>1.716674457494078</v>
      </c>
      <c r="R130" s="39">
        <f t="shared" si="20"/>
        <v>5.5903206516428989</v>
      </c>
    </row>
    <row r="131" spans="2:18" customFormat="1" x14ac:dyDescent="0.25">
      <c r="B131" s="19" t="s">
        <v>1067</v>
      </c>
      <c r="C131" s="3" t="s">
        <v>196</v>
      </c>
      <c r="D131" s="3">
        <v>2.9166666666666665</v>
      </c>
      <c r="E131" s="3">
        <v>21.522578626369899</v>
      </c>
      <c r="F131" s="3">
        <v>840</v>
      </c>
      <c r="G131" s="4">
        <v>8.26</v>
      </c>
      <c r="H131" s="7"/>
      <c r="I131" s="7"/>
      <c r="J131" s="38">
        <f t="shared" si="25"/>
        <v>7.7104374683058472</v>
      </c>
      <c r="K131" s="37">
        <f t="shared" si="26"/>
        <v>7.0600003114350889</v>
      </c>
      <c r="L131" s="37">
        <f t="shared" si="27"/>
        <v>3.8374425260025711</v>
      </c>
      <c r="M131" s="39">
        <f t="shared" si="28"/>
        <v>9.7006718890281025</v>
      </c>
      <c r="N131" s="117"/>
      <c r="O131" s="38">
        <f t="shared" si="17"/>
        <v>2.643578560562005</v>
      </c>
      <c r="P131" s="37">
        <f t="shared" si="18"/>
        <v>2.4205715353491732</v>
      </c>
      <c r="Q131" s="37">
        <f t="shared" si="19"/>
        <v>1.3156945803437388</v>
      </c>
      <c r="R131" s="39">
        <f t="shared" si="20"/>
        <v>3.3259446476667782</v>
      </c>
    </row>
    <row r="132" spans="2:18" customFormat="1" x14ac:dyDescent="0.25">
      <c r="B132" s="19" t="s">
        <v>1067</v>
      </c>
      <c r="C132" s="3" t="s">
        <v>197</v>
      </c>
      <c r="D132" s="3">
        <v>2.9166666666666665</v>
      </c>
      <c r="E132" s="3">
        <v>17.589982815036024</v>
      </c>
      <c r="F132" s="3">
        <v>810</v>
      </c>
      <c r="G132" s="4">
        <v>7.51</v>
      </c>
      <c r="H132" s="7"/>
      <c r="I132" s="7"/>
      <c r="J132" s="38">
        <f t="shared" si="25"/>
        <v>6.4247024812546369</v>
      </c>
      <c r="K132" s="37">
        <f t="shared" si="26"/>
        <v>5.7700002545298101</v>
      </c>
      <c r="L132" s="37">
        <f t="shared" si="27"/>
        <v>2.569489100546718</v>
      </c>
      <c r="M132" s="39">
        <f t="shared" si="28"/>
        <v>4.9916681274773849</v>
      </c>
      <c r="N132" s="117"/>
      <c r="O132" s="38">
        <f t="shared" si="17"/>
        <v>2.2027551364301612</v>
      </c>
      <c r="P132" s="37">
        <f t="shared" si="18"/>
        <v>1.9782858015530778</v>
      </c>
      <c r="Q132" s="37">
        <f t="shared" si="19"/>
        <v>0.88096769161601762</v>
      </c>
      <c r="R132" s="39">
        <f t="shared" si="20"/>
        <v>1.7114290722779606</v>
      </c>
    </row>
    <row r="133" spans="2:18" customFormat="1" x14ac:dyDescent="0.25">
      <c r="B133" s="19" t="s">
        <v>1067</v>
      </c>
      <c r="C133" s="3" t="s">
        <v>198</v>
      </c>
      <c r="D133" s="3">
        <v>2.9166666666666665</v>
      </c>
      <c r="E133" s="3">
        <v>25.699056348484174</v>
      </c>
      <c r="F133" s="3">
        <v>790</v>
      </c>
      <c r="G133" s="4">
        <v>9.56</v>
      </c>
      <c r="H133" s="7"/>
      <c r="I133" s="7"/>
      <c r="J133" s="38">
        <f t="shared" si="25"/>
        <v>9.558517894351537</v>
      </c>
      <c r="K133" s="37">
        <f t="shared" si="26"/>
        <v>8.4300003718693777</v>
      </c>
      <c r="L133" s="37">
        <f t="shared" si="27"/>
        <v>5.3318220842959105</v>
      </c>
      <c r="M133" s="39">
        <f t="shared" si="28"/>
        <v>18.000469242837799</v>
      </c>
      <c r="N133" s="117"/>
      <c r="O133" s="38">
        <f t="shared" si="17"/>
        <v>3.2772061352062414</v>
      </c>
      <c r="P133" s="37">
        <f t="shared" si="18"/>
        <v>2.8902858417837867</v>
      </c>
      <c r="Q133" s="37">
        <f t="shared" si="19"/>
        <v>1.8280532860443124</v>
      </c>
      <c r="R133" s="39">
        <f t="shared" si="20"/>
        <v>6.1715894546872452</v>
      </c>
    </row>
    <row r="134" spans="2:18" customFormat="1" x14ac:dyDescent="0.25">
      <c r="B134" s="19" t="s">
        <v>1067</v>
      </c>
      <c r="C134" s="3" t="s">
        <v>199</v>
      </c>
      <c r="D134" s="3">
        <v>2.9166666666666665</v>
      </c>
      <c r="E134" s="3">
        <v>17.254645187712978</v>
      </c>
      <c r="F134" s="3">
        <v>660</v>
      </c>
      <c r="G134" s="4">
        <v>5.94</v>
      </c>
      <c r="H134" s="7"/>
      <c r="I134" s="7"/>
      <c r="J134" s="38">
        <f t="shared" si="25"/>
        <v>6.5707943904963431</v>
      </c>
      <c r="K134" s="37">
        <f t="shared" si="26"/>
        <v>5.660000249677422</v>
      </c>
      <c r="L134" s="37">
        <f t="shared" si="27"/>
        <v>2.0847288409150613</v>
      </c>
      <c r="M134" s="39">
        <f t="shared" si="28"/>
        <v>4.0295142914590993</v>
      </c>
      <c r="N134" s="117"/>
      <c r="O134" s="38">
        <f t="shared" ref="O134:O197" si="29">J134/D134</f>
        <v>2.2528437910273178</v>
      </c>
      <c r="P134" s="37">
        <f t="shared" ref="P134:P197" si="30">K134/D134</f>
        <v>1.9405715141751163</v>
      </c>
      <c r="Q134" s="37">
        <f t="shared" ref="Q134:Q197" si="31">L134/D134</f>
        <v>0.71476417402802106</v>
      </c>
      <c r="R134" s="39">
        <f t="shared" ref="R134:R197" si="32">M134/D134</f>
        <v>1.3815477570716912</v>
      </c>
    </row>
    <row r="135" spans="2:18" customFormat="1" x14ac:dyDescent="0.25">
      <c r="B135" s="19" t="s">
        <v>1067</v>
      </c>
      <c r="C135" s="3" t="s">
        <v>200</v>
      </c>
      <c r="D135" s="3">
        <v>2.9166666666666665</v>
      </c>
      <c r="E135" s="3">
        <v>15.090193229536972</v>
      </c>
      <c r="F135" s="3">
        <v>740</v>
      </c>
      <c r="G135" s="4">
        <v>4.5199999999999996</v>
      </c>
      <c r="H135" s="7"/>
      <c r="I135" s="7"/>
      <c r="J135" s="38">
        <f t="shared" ref="J135:J145" si="33">EXP(2.476769 -3.669808/D135+ 0.048356*E135-0.000258*F135)</f>
        <v>5.7969417736917404</v>
      </c>
      <c r="K135" s="37">
        <f t="shared" ref="K135:K145" si="34">EXP(LN(E135) -4.589766 * (1/D135- 0.1))</f>
        <v>4.9500002183574638</v>
      </c>
      <c r="L135" s="37">
        <f t="shared" ref="L135:L145" si="35">EXP(0.780617 -7.094758/D135+ 0.092946*E135+ 0.001186*F135)</f>
        <v>1.8744994106120356</v>
      </c>
      <c r="M135" s="39">
        <f t="shared" ref="M135:M145" si="36">EXP(1.918322 -11.678936/D135+ 0.160806*E135+ 0.001068*F135)</f>
        <v>3.098843520230492</v>
      </c>
      <c r="N135" s="117"/>
      <c r="O135" s="38">
        <f t="shared" si="29"/>
        <v>1.9875228938371683</v>
      </c>
      <c r="P135" s="37">
        <f t="shared" si="30"/>
        <v>1.6971429320082734</v>
      </c>
      <c r="Q135" s="37">
        <f t="shared" si="31"/>
        <v>0.64268551220984083</v>
      </c>
      <c r="R135" s="39">
        <f t="shared" si="32"/>
        <v>1.0624606355075974</v>
      </c>
    </row>
    <row r="136" spans="2:18" customFormat="1" x14ac:dyDescent="0.25">
      <c r="B136" s="19" t="s">
        <v>1067</v>
      </c>
      <c r="C136" s="3" t="s">
        <v>201</v>
      </c>
      <c r="D136" s="3">
        <v>2.9166666666666665</v>
      </c>
      <c r="E136" s="3">
        <v>16.065720872658549</v>
      </c>
      <c r="F136" s="3">
        <v>700</v>
      </c>
      <c r="G136" s="4">
        <v>4.51</v>
      </c>
      <c r="H136" s="7"/>
      <c r="I136" s="7"/>
      <c r="J136" s="38">
        <f t="shared" si="33"/>
        <v>6.1399899957680821</v>
      </c>
      <c r="K136" s="37">
        <f t="shared" si="34"/>
        <v>5.2700002324735005</v>
      </c>
      <c r="L136" s="37">
        <f t="shared" si="35"/>
        <v>1.9573138235993099</v>
      </c>
      <c r="M136" s="39">
        <f t="shared" si="36"/>
        <v>3.4735588795422383</v>
      </c>
      <c r="N136" s="117"/>
      <c r="O136" s="38">
        <f t="shared" si="29"/>
        <v>2.1051394271204855</v>
      </c>
      <c r="P136" s="37">
        <f t="shared" si="30"/>
        <v>1.8068572225623432</v>
      </c>
      <c r="Q136" s="37">
        <f t="shared" si="31"/>
        <v>0.67107902523404916</v>
      </c>
      <c r="R136" s="39">
        <f t="shared" si="32"/>
        <v>1.1909344729859104</v>
      </c>
    </row>
    <row r="137" spans="2:18" customFormat="1" x14ac:dyDescent="0.25">
      <c r="B137" s="19" t="s">
        <v>1067</v>
      </c>
      <c r="C137" s="3" t="s">
        <v>202</v>
      </c>
      <c r="D137" s="3">
        <v>2.9166666666666665</v>
      </c>
      <c r="E137" s="3">
        <v>15.943779917268355</v>
      </c>
      <c r="F137" s="3">
        <v>720</v>
      </c>
      <c r="G137" s="4">
        <v>5.09</v>
      </c>
      <c r="H137" s="7"/>
      <c r="I137" s="7"/>
      <c r="J137" s="38">
        <f t="shared" si="33"/>
        <v>6.0724766456407666</v>
      </c>
      <c r="K137" s="37">
        <f t="shared" si="34"/>
        <v>5.2300002307089963</v>
      </c>
      <c r="L137" s="37">
        <f t="shared" si="35"/>
        <v>1.9817080236352429</v>
      </c>
      <c r="M137" s="39">
        <f t="shared" si="36"/>
        <v>3.4796469754514763</v>
      </c>
      <c r="N137" s="117"/>
      <c r="O137" s="38">
        <f t="shared" si="29"/>
        <v>2.0819919927911199</v>
      </c>
      <c r="P137" s="37">
        <f t="shared" si="30"/>
        <v>1.7931429362430846</v>
      </c>
      <c r="Q137" s="37">
        <f t="shared" si="31"/>
        <v>0.67944275096065476</v>
      </c>
      <c r="R137" s="39">
        <f t="shared" si="32"/>
        <v>1.193021820154792</v>
      </c>
    </row>
    <row r="138" spans="2:18" customFormat="1" x14ac:dyDescent="0.25">
      <c r="B138" s="19" t="s">
        <v>1067</v>
      </c>
      <c r="C138" s="3" t="s">
        <v>203</v>
      </c>
      <c r="D138" s="3">
        <v>2.9166666666666665</v>
      </c>
      <c r="E138" s="3">
        <v>15.242619423774714</v>
      </c>
      <c r="F138" s="3">
        <v>780</v>
      </c>
      <c r="G138" s="4">
        <v>4.87</v>
      </c>
      <c r="H138" s="7"/>
      <c r="I138" s="7"/>
      <c r="J138" s="38">
        <f t="shared" si="33"/>
        <v>5.7798701621825375</v>
      </c>
      <c r="K138" s="37">
        <f t="shared" si="34"/>
        <v>5.0000002205630931</v>
      </c>
      <c r="L138" s="37">
        <f t="shared" si="35"/>
        <v>1.993613951676906</v>
      </c>
      <c r="M138" s="39">
        <f t="shared" si="36"/>
        <v>3.3143450434182169</v>
      </c>
      <c r="N138" s="117"/>
      <c r="O138" s="38">
        <f t="shared" si="29"/>
        <v>1.9816697698911558</v>
      </c>
      <c r="P138" s="37">
        <f t="shared" si="30"/>
        <v>1.7142857899073463</v>
      </c>
      <c r="Q138" s="37">
        <f t="shared" si="31"/>
        <v>0.68352478343208212</v>
      </c>
      <c r="R138" s="39">
        <f t="shared" si="32"/>
        <v>1.136346872029103</v>
      </c>
    </row>
    <row r="139" spans="2:18" customFormat="1" x14ac:dyDescent="0.25">
      <c r="B139" s="19" t="s">
        <v>1067</v>
      </c>
      <c r="C139" s="3" t="s">
        <v>204</v>
      </c>
      <c r="D139" s="3">
        <v>2.9166666666666665</v>
      </c>
      <c r="E139" s="3">
        <v>15.120678468384513</v>
      </c>
      <c r="F139" s="3">
        <v>620</v>
      </c>
      <c r="G139" s="4">
        <v>4.76</v>
      </c>
      <c r="H139" s="7"/>
      <c r="I139" s="7"/>
      <c r="J139" s="38">
        <f t="shared" si="33"/>
        <v>5.9880429685184211</v>
      </c>
      <c r="K139" s="37">
        <f t="shared" si="34"/>
        <v>4.9600002187985872</v>
      </c>
      <c r="L139" s="37">
        <f t="shared" si="35"/>
        <v>1.6304484892952136</v>
      </c>
      <c r="M139" s="39">
        <f t="shared" si="36"/>
        <v>2.7394884152797072</v>
      </c>
      <c r="N139" s="117"/>
      <c r="O139" s="38">
        <f t="shared" si="29"/>
        <v>2.0530433034920303</v>
      </c>
      <c r="P139" s="37">
        <f t="shared" si="30"/>
        <v>1.7005715035880871</v>
      </c>
      <c r="Q139" s="37">
        <f t="shared" si="31"/>
        <v>0.55901091061550179</v>
      </c>
      <c r="R139" s="39">
        <f t="shared" si="32"/>
        <v>0.9392531709530425</v>
      </c>
    </row>
    <row r="140" spans="2:18" customFormat="1" x14ac:dyDescent="0.25">
      <c r="B140" s="19" t="s">
        <v>1067</v>
      </c>
      <c r="C140" s="3" t="s">
        <v>205</v>
      </c>
      <c r="D140" s="3">
        <v>2.9166666666666665</v>
      </c>
      <c r="E140" s="3">
        <v>10.974685985117794</v>
      </c>
      <c r="F140" s="3">
        <v>700</v>
      </c>
      <c r="G140" s="4">
        <v>3.31</v>
      </c>
      <c r="H140" s="7"/>
      <c r="I140" s="7"/>
      <c r="J140" s="38">
        <f t="shared" si="33"/>
        <v>4.8001205384809458</v>
      </c>
      <c r="K140" s="37">
        <f t="shared" si="34"/>
        <v>3.6000001588054271</v>
      </c>
      <c r="L140" s="37">
        <f t="shared" si="35"/>
        <v>1.2194277684177597</v>
      </c>
      <c r="M140" s="39">
        <f t="shared" si="36"/>
        <v>1.5319029579714063</v>
      </c>
      <c r="N140" s="117"/>
      <c r="O140" s="38">
        <f t="shared" si="29"/>
        <v>1.6457556131934672</v>
      </c>
      <c r="P140" s="37">
        <f t="shared" si="30"/>
        <v>1.2342857687332893</v>
      </c>
      <c r="Q140" s="37">
        <f t="shared" si="31"/>
        <v>0.41808952060037474</v>
      </c>
      <c r="R140" s="39">
        <f t="shared" si="32"/>
        <v>0.52522387130448223</v>
      </c>
    </row>
    <row r="141" spans="2:18" customFormat="1" x14ac:dyDescent="0.25">
      <c r="B141" s="19" t="s">
        <v>1067</v>
      </c>
      <c r="C141" s="3" t="s">
        <v>206</v>
      </c>
      <c r="D141" s="3">
        <v>2.9166666666666665</v>
      </c>
      <c r="E141" s="3">
        <v>14.754855602213921</v>
      </c>
      <c r="F141" s="3">
        <v>870</v>
      </c>
      <c r="G141" s="4">
        <v>5.13</v>
      </c>
      <c r="H141" s="7"/>
      <c r="I141" s="7"/>
      <c r="J141" s="38">
        <f t="shared" si="33"/>
        <v>5.5155695032338743</v>
      </c>
      <c r="K141" s="37">
        <f t="shared" si="34"/>
        <v>4.8400002135050739</v>
      </c>
      <c r="L141" s="37">
        <f t="shared" si="35"/>
        <v>2.1198670016823877</v>
      </c>
      <c r="M141" s="39">
        <f t="shared" si="36"/>
        <v>3.3734794227681237</v>
      </c>
      <c r="N141" s="117"/>
      <c r="O141" s="38">
        <f t="shared" si="29"/>
        <v>1.8910524011087571</v>
      </c>
      <c r="P141" s="37">
        <f t="shared" si="30"/>
        <v>1.659428644630311</v>
      </c>
      <c r="Q141" s="37">
        <f t="shared" si="31"/>
        <v>0.72681154343396159</v>
      </c>
      <c r="R141" s="39">
        <f t="shared" si="32"/>
        <v>1.1566215163776425</v>
      </c>
    </row>
    <row r="142" spans="2:18" customFormat="1" x14ac:dyDescent="0.25">
      <c r="B142" s="19" t="s">
        <v>1067</v>
      </c>
      <c r="C142" s="3" t="s">
        <v>207</v>
      </c>
      <c r="D142" s="3">
        <v>2.9166666666666665</v>
      </c>
      <c r="E142" s="3">
        <v>18.291143308529662</v>
      </c>
      <c r="F142" s="3">
        <v>670</v>
      </c>
      <c r="G142" s="4">
        <v>6.09</v>
      </c>
      <c r="H142" s="7"/>
      <c r="I142" s="7"/>
      <c r="J142" s="38">
        <f t="shared" si="33"/>
        <v>6.8907204222134828</v>
      </c>
      <c r="K142" s="37">
        <f t="shared" si="34"/>
        <v>6.0000002646757133</v>
      </c>
      <c r="L142" s="37">
        <f t="shared" si="35"/>
        <v>2.3229481861173737</v>
      </c>
      <c r="M142" s="39">
        <f t="shared" si="36"/>
        <v>4.8114618761618573</v>
      </c>
      <c r="N142" s="117"/>
      <c r="O142" s="38">
        <f t="shared" si="29"/>
        <v>2.3625327161874798</v>
      </c>
      <c r="P142" s="37">
        <f t="shared" si="30"/>
        <v>2.0571429478888161</v>
      </c>
      <c r="Q142" s="37">
        <f t="shared" si="31"/>
        <v>0.7964393780973853</v>
      </c>
      <c r="R142" s="39">
        <f t="shared" si="32"/>
        <v>1.6496440718269225</v>
      </c>
    </row>
    <row r="143" spans="2:18" customFormat="1" x14ac:dyDescent="0.25">
      <c r="B143" s="19" t="s">
        <v>1067</v>
      </c>
      <c r="C143" s="3" t="s">
        <v>208</v>
      </c>
      <c r="D143" s="3">
        <v>4</v>
      </c>
      <c r="E143" s="3">
        <v>27.232192995215026</v>
      </c>
      <c r="F143" s="3">
        <v>760</v>
      </c>
      <c r="G143" s="4">
        <v>11.05</v>
      </c>
      <c r="H143" s="7"/>
      <c r="I143" s="7"/>
      <c r="J143" s="38">
        <f t="shared" si="33"/>
        <v>14.586215289702841</v>
      </c>
      <c r="K143" s="37">
        <f t="shared" si="34"/>
        <v>13.680000372725672</v>
      </c>
      <c r="L143" s="37">
        <f t="shared" si="35"/>
        <v>11.466284081088379</v>
      </c>
      <c r="M143" s="39">
        <f t="shared" si="36"/>
        <v>65.981079506826504</v>
      </c>
      <c r="N143" s="117"/>
      <c r="O143" s="38">
        <f t="shared" si="29"/>
        <v>3.6465538224257101</v>
      </c>
      <c r="P143" s="37">
        <f t="shared" si="30"/>
        <v>3.4200000931814181</v>
      </c>
      <c r="Q143" s="37">
        <f t="shared" si="31"/>
        <v>2.8665710202720946</v>
      </c>
      <c r="R143" s="39">
        <f t="shared" si="32"/>
        <v>16.495269876706626</v>
      </c>
    </row>
    <row r="144" spans="2:18" customFormat="1" x14ac:dyDescent="0.25">
      <c r="B144" s="19" t="s">
        <v>1067</v>
      </c>
      <c r="C144" s="3" t="s">
        <v>209</v>
      </c>
      <c r="D144" s="3">
        <v>4</v>
      </c>
      <c r="E144" s="3">
        <v>25.14200274338932</v>
      </c>
      <c r="F144" s="3">
        <v>1086</v>
      </c>
      <c r="G144" s="4">
        <v>10.94</v>
      </c>
      <c r="H144" s="7"/>
      <c r="I144" s="7"/>
      <c r="J144" s="38">
        <f t="shared" si="33"/>
        <v>12.120469101778173</v>
      </c>
      <c r="K144" s="37">
        <f t="shared" si="34"/>
        <v>12.630000344117345</v>
      </c>
      <c r="L144" s="37">
        <f t="shared" si="35"/>
        <v>13.898377225954636</v>
      </c>
      <c r="M144" s="39">
        <f t="shared" si="36"/>
        <v>66.781152541788217</v>
      </c>
      <c r="N144" s="117"/>
      <c r="O144" s="38">
        <f t="shared" si="29"/>
        <v>3.0301172754445433</v>
      </c>
      <c r="P144" s="37">
        <f t="shared" si="30"/>
        <v>3.1575000860293363</v>
      </c>
      <c r="Q144" s="37">
        <f t="shared" si="31"/>
        <v>3.4745943064886591</v>
      </c>
      <c r="R144" s="39">
        <f t="shared" si="32"/>
        <v>16.695288135447054</v>
      </c>
    </row>
    <row r="145" spans="2:18" customFormat="1" x14ac:dyDescent="0.25">
      <c r="B145" s="19" t="s">
        <v>1067</v>
      </c>
      <c r="C145" s="3" t="s">
        <v>210</v>
      </c>
      <c r="D145" s="3">
        <v>4</v>
      </c>
      <c r="E145" s="3">
        <v>21.538912880718325</v>
      </c>
      <c r="F145" s="3">
        <v>1180</v>
      </c>
      <c r="G145" s="4">
        <v>10.47</v>
      </c>
      <c r="H145" s="7"/>
      <c r="I145" s="7"/>
      <c r="J145" s="38">
        <f t="shared" si="33"/>
        <v>9.9384658852777292</v>
      </c>
      <c r="K145" s="37">
        <f t="shared" si="34"/>
        <v>10.820000294802034</v>
      </c>
      <c r="L145" s="37">
        <f t="shared" si="35"/>
        <v>11.115753057812622</v>
      </c>
      <c r="M145" s="39">
        <f t="shared" si="36"/>
        <v>41.364144251992236</v>
      </c>
      <c r="N145" s="117"/>
      <c r="O145" s="38">
        <f t="shared" si="29"/>
        <v>2.4846164713194323</v>
      </c>
      <c r="P145" s="37">
        <f t="shared" si="30"/>
        <v>2.7050000737005084</v>
      </c>
      <c r="Q145" s="37">
        <f t="shared" si="31"/>
        <v>2.7789382644531555</v>
      </c>
      <c r="R145" s="39">
        <f t="shared" si="32"/>
        <v>10.341036062998059</v>
      </c>
    </row>
    <row r="146" spans="2:18" customFormat="1" x14ac:dyDescent="0.25">
      <c r="B146" s="19" t="s">
        <v>1068</v>
      </c>
      <c r="C146" s="3" t="s">
        <v>211</v>
      </c>
      <c r="D146" s="3">
        <v>14.75</v>
      </c>
      <c r="E146" s="3">
        <v>6.6713303794911498</v>
      </c>
      <c r="F146" s="3">
        <v>1120</v>
      </c>
      <c r="G146" s="4">
        <v>8.1199999999999992</v>
      </c>
      <c r="H146" s="7"/>
      <c r="I146" s="7"/>
      <c r="J146" s="38">
        <f>EXP(2.762289 -2.32964/D146+ 0.014772*E146-0.000567*F146)</f>
        <v>7.9078520596444895</v>
      </c>
      <c r="K146" s="37">
        <f>EXP(LN(E146) -0.684405 * (1/D146- 0.1))</f>
        <v>6.819999907215565</v>
      </c>
      <c r="L146" s="37">
        <f>EXP(2.143734 -4.666703/D146+ 0.028075*E146 -0.000276*F146)</f>
        <v>5.5042744126428431</v>
      </c>
      <c r="M146" s="39">
        <f>EXP(1.966696 -6.206873/D146+ 0.119088*E146+ 0.000292*F146)</f>
        <v>14.402566834321156</v>
      </c>
      <c r="N146" s="117"/>
      <c r="O146" s="38">
        <f t="shared" si="29"/>
        <v>0.53612556336572814</v>
      </c>
      <c r="P146" s="37">
        <f t="shared" si="30"/>
        <v>0.46237287506546204</v>
      </c>
      <c r="Q146" s="37">
        <f t="shared" si="31"/>
        <v>0.37317114661985379</v>
      </c>
      <c r="R146" s="39">
        <f t="shared" si="32"/>
        <v>0.97644520910651911</v>
      </c>
    </row>
    <row r="147" spans="2:18" customFormat="1" x14ac:dyDescent="0.25">
      <c r="B147" s="19" t="s">
        <v>1068</v>
      </c>
      <c r="C147" s="3" t="s">
        <v>212</v>
      </c>
      <c r="D147" s="3">
        <v>6.166666666666667</v>
      </c>
      <c r="E147" s="3">
        <v>6.8868498190712737</v>
      </c>
      <c r="F147" s="3">
        <v>1240</v>
      </c>
      <c r="G147" s="4">
        <v>5.84</v>
      </c>
      <c r="H147" s="7"/>
      <c r="I147" s="7"/>
      <c r="J147" s="38">
        <f>EXP(2.762289 -2.32964/D147+ 0.014772*E147-0.000567*F147)</f>
        <v>5.9486368119184085</v>
      </c>
      <c r="K147" s="37">
        <f>EXP(LN(E147) -0.684405 * (1/D147- 0.1))</f>
        <v>6.6000001733242062</v>
      </c>
      <c r="L147" s="37">
        <f>EXP(2.143734 -4.666703/D147+ 0.028075*E147 -0.000276*F147)</f>
        <v>3.4489838796430088</v>
      </c>
      <c r="M147" s="39">
        <f>EXP(1.966696 -6.206873/D147+ 0.119088*E147+ 0.000292*F147)</f>
        <v>8.5198371372102475</v>
      </c>
      <c r="N147" s="117"/>
      <c r="O147" s="38">
        <f t="shared" si="29"/>
        <v>0.96464380733812027</v>
      </c>
      <c r="P147" s="37">
        <f t="shared" si="30"/>
        <v>1.0702702983768984</v>
      </c>
      <c r="Q147" s="37">
        <f t="shared" si="31"/>
        <v>0.5592946831853528</v>
      </c>
      <c r="R147" s="39">
        <f t="shared" si="32"/>
        <v>1.3815952114394996</v>
      </c>
    </row>
    <row r="148" spans="2:18" customFormat="1" x14ac:dyDescent="0.25">
      <c r="B148" s="19" t="s">
        <v>1069</v>
      </c>
      <c r="C148" s="3" t="s">
        <v>213</v>
      </c>
      <c r="D148" s="3">
        <v>14.416666666666666</v>
      </c>
      <c r="E148" s="3">
        <v>11.914235188873732</v>
      </c>
      <c r="F148" s="3">
        <v>800</v>
      </c>
      <c r="G148" s="4">
        <v>16.32</v>
      </c>
      <c r="H148" s="7"/>
      <c r="I148" s="7"/>
      <c r="J148" s="38">
        <f>EXP(3.112788 -6.202454/D148+ 0.078664*E148-0.001055*F148)</f>
        <v>16.051164055623026</v>
      </c>
      <c r="K148" s="37">
        <f>EXP(LN(E148) -8.798094 * (1/D148- 0.1))</f>
        <v>15.599999830239563</v>
      </c>
      <c r="L148" s="37">
        <f>EXP(2.642654 -12.355272/D148+ 0.1598*E148-0.00112*F148)</f>
        <v>16.338686431916209</v>
      </c>
      <c r="M148" s="39">
        <f>EXP(4.313634 -21.102053/D148+ 0.245205*E148 -0.001508*F148)</f>
        <v>96.056621014247398</v>
      </c>
      <c r="N148" s="117"/>
      <c r="O148" s="38">
        <f t="shared" si="29"/>
        <v>1.1133755414304989</v>
      </c>
      <c r="P148" s="37">
        <f t="shared" si="30"/>
        <v>1.0820809130802009</v>
      </c>
      <c r="Q148" s="37">
        <f t="shared" si="31"/>
        <v>1.1333192900751128</v>
      </c>
      <c r="R148" s="39">
        <f t="shared" si="32"/>
        <v>6.6628870067686057</v>
      </c>
    </row>
    <row r="149" spans="2:18" customFormat="1" x14ac:dyDescent="0.25">
      <c r="B149" s="19" t="s">
        <v>1069</v>
      </c>
      <c r="C149" s="3" t="s">
        <v>214</v>
      </c>
      <c r="D149" s="3">
        <v>13.416666666666666</v>
      </c>
      <c r="E149" s="3">
        <v>12.868319292165912</v>
      </c>
      <c r="F149" s="3">
        <v>800</v>
      </c>
      <c r="G149" s="4">
        <v>14.53</v>
      </c>
      <c r="H149" s="7"/>
      <c r="I149" s="7"/>
      <c r="J149" s="38">
        <f>EXP(3.112788 -6.202454/D149+ 0.078664*E149-0.001055*F149)</f>
        <v>16.756173553508223</v>
      </c>
      <c r="K149" s="37">
        <f>EXP(LN(E149) -8.798094 * (1/D149- 0.1))</f>
        <v>16.099999854364928</v>
      </c>
      <c r="L149" s="37">
        <f>EXP(2.642654 -12.355272/D149+ 0.1598*E149-0.00112*F149)</f>
        <v>17.852107783770737</v>
      </c>
      <c r="M149" s="39">
        <f>EXP(4.313634 -21.102053/D149+ 0.245205*E149 -0.001508*F149)</f>
        <v>108.82993189862758</v>
      </c>
      <c r="N149" s="117"/>
      <c r="O149" s="38">
        <f t="shared" si="29"/>
        <v>1.2489073456030975</v>
      </c>
      <c r="P149" s="37">
        <f t="shared" si="30"/>
        <v>1.199999989145212</v>
      </c>
      <c r="Q149" s="37">
        <f t="shared" si="31"/>
        <v>1.3305918845046514</v>
      </c>
      <c r="R149" s="39">
        <f t="shared" si="32"/>
        <v>8.1115477191523659</v>
      </c>
    </row>
    <row r="150" spans="2:18" customFormat="1" x14ac:dyDescent="0.25">
      <c r="B150" s="19" t="s">
        <v>1069</v>
      </c>
      <c r="C150" s="3" t="s">
        <v>215</v>
      </c>
      <c r="D150" s="3">
        <v>13.416666666666666</v>
      </c>
      <c r="E150" s="3">
        <v>13.188029088244569</v>
      </c>
      <c r="F150" s="3">
        <v>1060</v>
      </c>
      <c r="G150" s="4">
        <v>13.22</v>
      </c>
      <c r="H150" s="7"/>
      <c r="I150" s="7"/>
      <c r="J150" s="38">
        <f>EXP(3.112788 -6.202454/D150+ 0.078664*E150-0.001055*F150)</f>
        <v>13.060813510205382</v>
      </c>
      <c r="K150" s="37">
        <f>EXP(LN(E150) -8.798094 * (1/D150- 0.1))</f>
        <v>16.499999850746665</v>
      </c>
      <c r="L150" s="37">
        <f>EXP(2.642654 -12.355272/D150+ 0.1598*E150-0.00112*F150)</f>
        <v>14.041415460516713</v>
      </c>
      <c r="M150" s="39">
        <f>EXP(4.313634 -21.102053/D150+ 0.245205*E150 -0.001508*F150)</f>
        <v>79.527338774048872</v>
      </c>
      <c r="N150" s="117"/>
      <c r="O150" s="38">
        <f t="shared" si="29"/>
        <v>0.97347678336934529</v>
      </c>
      <c r="P150" s="37">
        <f t="shared" si="30"/>
        <v>1.2298136534718012</v>
      </c>
      <c r="Q150" s="37">
        <f t="shared" si="31"/>
        <v>1.046565127491929</v>
      </c>
      <c r="R150" s="39">
        <f t="shared" si="32"/>
        <v>5.9275035111092329</v>
      </c>
    </row>
    <row r="151" spans="2:18" customFormat="1" x14ac:dyDescent="0.25">
      <c r="B151" s="19" t="s">
        <v>1075</v>
      </c>
      <c r="C151" s="3" t="s">
        <v>620</v>
      </c>
      <c r="D151" s="3">
        <v>14.416666666666666</v>
      </c>
      <c r="E151" s="3">
        <v>12.11883216800209</v>
      </c>
      <c r="F151" s="3">
        <v>360</v>
      </c>
      <c r="G151" s="4">
        <v>17.52</v>
      </c>
      <c r="H151" s="7"/>
      <c r="I151" s="7"/>
      <c r="J151" s="38">
        <f t="shared" ref="J151:J157" si="37">EXP(2.533776 -6.885158/D151+ 0.065936*E151-0.000115*F151)</f>
        <v>16.67415813643451</v>
      </c>
      <c r="K151" s="37">
        <f t="shared" ref="K151:K157" si="38">EXP(LN(E151) -8.864079 * (1/D151- 0.1))</f>
        <v>15.900000009419749</v>
      </c>
      <c r="L151" s="37">
        <f t="shared" ref="L151:L157" si="39">EXP(1.129202 -14.091632/D151+ 0.126178*E151+ 0.001344*F151)</f>
        <v>8.7121426766247581</v>
      </c>
      <c r="M151" s="39">
        <f t="shared" ref="M151:M157" si="40">EXP(2.56331 -23.018699/D151+ 0.214254*E151+ 0.001243*F151)</f>
        <v>55.181375959601091</v>
      </c>
      <c r="N151" s="117"/>
      <c r="O151" s="38">
        <f t="shared" si="29"/>
        <v>1.1565890036833186</v>
      </c>
      <c r="P151" s="37">
        <f t="shared" si="30"/>
        <v>1.1028901740637977</v>
      </c>
      <c r="Q151" s="37">
        <f t="shared" si="31"/>
        <v>0.60431047467917398</v>
      </c>
      <c r="R151" s="39">
        <f t="shared" si="32"/>
        <v>3.827609893151521</v>
      </c>
    </row>
    <row r="152" spans="2:18" customFormat="1" x14ac:dyDescent="0.25">
      <c r="B152" s="19" t="s">
        <v>1075</v>
      </c>
      <c r="C152" s="3" t="s">
        <v>621</v>
      </c>
      <c r="D152" s="3">
        <v>14.416666666666666</v>
      </c>
      <c r="E152" s="3">
        <v>10.59445076322195</v>
      </c>
      <c r="F152" s="3">
        <v>420</v>
      </c>
      <c r="G152" s="4">
        <v>15.17</v>
      </c>
      <c r="H152" s="7"/>
      <c r="I152" s="7"/>
      <c r="J152" s="38">
        <f t="shared" si="37"/>
        <v>14.975993589011402</v>
      </c>
      <c r="K152" s="37">
        <f t="shared" si="38"/>
        <v>13.900000008234871</v>
      </c>
      <c r="L152" s="37">
        <f t="shared" si="39"/>
        <v>7.7913517270132138</v>
      </c>
      <c r="M152" s="39">
        <f t="shared" si="40"/>
        <v>42.888369880244788</v>
      </c>
      <c r="N152" s="117"/>
      <c r="O152" s="38">
        <f t="shared" si="29"/>
        <v>1.0387972431684209</v>
      </c>
      <c r="P152" s="37">
        <f t="shared" si="30"/>
        <v>0.96416185028218759</v>
      </c>
      <c r="Q152" s="37">
        <f t="shared" si="31"/>
        <v>0.54044058222056979</v>
      </c>
      <c r="R152" s="39">
        <f t="shared" si="32"/>
        <v>2.9749158298435692</v>
      </c>
    </row>
    <row r="153" spans="2:18" customFormat="1" x14ac:dyDescent="0.25">
      <c r="B153" s="19" t="s">
        <v>1075</v>
      </c>
      <c r="C153" s="3" t="s">
        <v>622</v>
      </c>
      <c r="D153" s="3">
        <v>14.416666666666666</v>
      </c>
      <c r="E153" s="3">
        <v>12.804803800153149</v>
      </c>
      <c r="F153" s="3">
        <v>580</v>
      </c>
      <c r="G153" s="4">
        <v>16.510000000000002</v>
      </c>
      <c r="H153" s="7"/>
      <c r="I153" s="7"/>
      <c r="J153" s="38">
        <f t="shared" si="37"/>
        <v>17.00981158274142</v>
      </c>
      <c r="K153" s="37">
        <f t="shared" si="38"/>
        <v>16.800000009952939</v>
      </c>
      <c r="L153" s="37">
        <f t="shared" si="39"/>
        <v>12.768130877952956</v>
      </c>
      <c r="M153" s="39">
        <f t="shared" si="40"/>
        <v>84.020235647107171</v>
      </c>
      <c r="N153" s="117"/>
      <c r="O153" s="38">
        <f t="shared" si="29"/>
        <v>1.1798713236583644</v>
      </c>
      <c r="P153" s="37">
        <f t="shared" si="30"/>
        <v>1.1653179197655219</v>
      </c>
      <c r="Q153" s="37">
        <f t="shared" si="31"/>
        <v>0.88565069673662122</v>
      </c>
      <c r="R153" s="39">
        <f t="shared" si="32"/>
        <v>5.8279932240767982</v>
      </c>
    </row>
    <row r="154" spans="2:18" customFormat="1" x14ac:dyDescent="0.25">
      <c r="B154" s="19" t="s">
        <v>1075</v>
      </c>
      <c r="C154" s="3" t="s">
        <v>623</v>
      </c>
      <c r="D154" s="3">
        <v>13.416666666666666</v>
      </c>
      <c r="E154" s="3">
        <v>13.405266907814882</v>
      </c>
      <c r="F154" s="3">
        <v>420</v>
      </c>
      <c r="G154" s="4">
        <v>20.34</v>
      </c>
      <c r="H154" s="7"/>
      <c r="I154" s="7"/>
      <c r="J154" s="38">
        <f t="shared" si="37"/>
        <v>17.395059003399211</v>
      </c>
      <c r="K154" s="37">
        <f t="shared" si="38"/>
        <v>16.800000008273312</v>
      </c>
      <c r="L154" s="37">
        <f t="shared" si="39"/>
        <v>10.32763996387791</v>
      </c>
      <c r="M154" s="39">
        <f t="shared" si="40"/>
        <v>69.534471853430716</v>
      </c>
      <c r="N154" s="117"/>
      <c r="O154" s="38">
        <f t="shared" si="29"/>
        <v>1.2965261368993202</v>
      </c>
      <c r="P154" s="37">
        <f t="shared" si="30"/>
        <v>1.2521739136601227</v>
      </c>
      <c r="Q154" s="37">
        <f t="shared" si="31"/>
        <v>0.76976198488531011</v>
      </c>
      <c r="R154" s="39">
        <f t="shared" si="32"/>
        <v>5.1826935542929728</v>
      </c>
    </row>
    <row r="155" spans="2:18" customFormat="1" x14ac:dyDescent="0.25">
      <c r="B155" s="19" t="s">
        <v>1075</v>
      </c>
      <c r="C155" s="3" t="s">
        <v>624</v>
      </c>
      <c r="D155" s="3">
        <v>13.416666666666666</v>
      </c>
      <c r="E155" s="3">
        <v>13.1658871416039</v>
      </c>
      <c r="F155" s="3">
        <v>800</v>
      </c>
      <c r="G155" s="4">
        <v>18.47</v>
      </c>
      <c r="H155" s="7"/>
      <c r="I155" s="7"/>
      <c r="J155" s="38">
        <f t="shared" si="37"/>
        <v>16.390509139528142</v>
      </c>
      <c r="K155" s="37">
        <f t="shared" si="38"/>
        <v>16.500000008125571</v>
      </c>
      <c r="L155" s="37">
        <f t="shared" si="39"/>
        <v>16.698841280228052</v>
      </c>
      <c r="M155" s="39">
        <f t="shared" si="40"/>
        <v>105.94017574924445</v>
      </c>
      <c r="N155" s="117"/>
      <c r="O155" s="38">
        <f t="shared" si="29"/>
        <v>1.22165285512011</v>
      </c>
      <c r="P155" s="37">
        <f t="shared" si="30"/>
        <v>1.229813665201906</v>
      </c>
      <c r="Q155" s="37">
        <f t="shared" si="31"/>
        <v>1.2446341326878052</v>
      </c>
      <c r="R155" s="39">
        <f t="shared" si="32"/>
        <v>7.8961621676455493</v>
      </c>
    </row>
    <row r="156" spans="2:18" customFormat="1" x14ac:dyDescent="0.25">
      <c r="B156" s="19" t="s">
        <v>1075</v>
      </c>
      <c r="C156" s="3" t="s">
        <v>625</v>
      </c>
      <c r="D156" s="3">
        <v>14.5</v>
      </c>
      <c r="E156" s="3">
        <v>12.835586589711522</v>
      </c>
      <c r="F156" s="3">
        <v>460</v>
      </c>
      <c r="G156" s="4">
        <v>19.66</v>
      </c>
      <c r="H156" s="7"/>
      <c r="I156" s="7"/>
      <c r="J156" s="38">
        <f t="shared" si="37"/>
        <v>17.328711577874238</v>
      </c>
      <c r="K156" s="37">
        <f t="shared" si="38"/>
        <v>16.900000010142467</v>
      </c>
      <c r="L156" s="37">
        <f t="shared" si="39"/>
        <v>10.970106198608212</v>
      </c>
      <c r="M156" s="39">
        <f t="shared" si="40"/>
        <v>73.528220612096845</v>
      </c>
      <c r="N156" s="117"/>
      <c r="O156" s="38">
        <f t="shared" si="29"/>
        <v>1.1950835570947751</v>
      </c>
      <c r="P156" s="37">
        <f t="shared" si="30"/>
        <v>1.1655172420787907</v>
      </c>
      <c r="Q156" s="37">
        <f t="shared" si="31"/>
        <v>0.75655904817987674</v>
      </c>
      <c r="R156" s="39">
        <f t="shared" si="32"/>
        <v>5.0709117663515064</v>
      </c>
    </row>
    <row r="157" spans="2:18" customFormat="1" x14ac:dyDescent="0.25">
      <c r="B157" s="19" t="s">
        <v>1075</v>
      </c>
      <c r="C157" s="3" t="s">
        <v>626</v>
      </c>
      <c r="D157" s="3">
        <v>13.416666666666666</v>
      </c>
      <c r="E157" s="3">
        <v>13.72443992942952</v>
      </c>
      <c r="F157" s="3">
        <v>460</v>
      </c>
      <c r="G157" s="4">
        <v>16.88</v>
      </c>
      <c r="H157" s="7"/>
      <c r="I157" s="7"/>
      <c r="J157" s="38">
        <f t="shared" si="37"/>
        <v>17.68348570303467</v>
      </c>
      <c r="K157" s="37">
        <f t="shared" si="38"/>
        <v>17.200000008470294</v>
      </c>
      <c r="L157" s="37">
        <f t="shared" si="39"/>
        <v>11.345899558344668</v>
      </c>
      <c r="M157" s="39">
        <f t="shared" si="40"/>
        <v>78.251400268758132</v>
      </c>
      <c r="N157" s="117"/>
      <c r="O157" s="38">
        <f t="shared" si="29"/>
        <v>1.3180237791081741</v>
      </c>
      <c r="P157" s="37">
        <f t="shared" si="30"/>
        <v>1.2819875782710779</v>
      </c>
      <c r="Q157" s="37">
        <f t="shared" si="31"/>
        <v>0.845657109938733</v>
      </c>
      <c r="R157" s="39">
        <f t="shared" si="32"/>
        <v>5.8324025045037118</v>
      </c>
    </row>
    <row r="158" spans="2:18" customFormat="1" x14ac:dyDescent="0.25">
      <c r="B158" s="19" t="s">
        <v>1180</v>
      </c>
      <c r="C158" s="3" t="s">
        <v>627</v>
      </c>
      <c r="D158" s="3">
        <v>14.416666666666666</v>
      </c>
      <c r="E158" s="3">
        <v>14.007399801897078</v>
      </c>
      <c r="F158" s="3">
        <v>820</v>
      </c>
      <c r="G158" s="4">
        <v>14.44</v>
      </c>
      <c r="H158" s="7"/>
      <c r="I158" s="7"/>
      <c r="J158" s="49">
        <f>EXP(2.624014 -10.108301/D158 + 0.030276*E158 +0.000414*F158)</f>
        <v>14.679151324206298</v>
      </c>
      <c r="K158" s="47">
        <f>EXP(LN(E158) -7.563575 * (1/D158- 0.1))</f>
        <v>17.660000205177116</v>
      </c>
      <c r="L158" s="48">
        <f>EXP(1.609769 -20.178575/D158 + 0.060325*E158 +0.001922*F158)</f>
        <v>13.889531832753709</v>
      </c>
      <c r="M158" s="50">
        <f>EXP(5.394304 -23.23099/D158 + 0.128387*E158 -0.001331*F158)</f>
        <v>89.108425124100393</v>
      </c>
      <c r="N158" s="117"/>
      <c r="O158" s="38">
        <f t="shared" si="29"/>
        <v>1.0182070282686451</v>
      </c>
      <c r="P158" s="37">
        <f t="shared" si="30"/>
        <v>1.2249711124978346</v>
      </c>
      <c r="Q158" s="37">
        <f t="shared" si="31"/>
        <v>0.9634357340638412</v>
      </c>
      <c r="R158" s="39">
        <f t="shared" si="32"/>
        <v>6.1809312224809521</v>
      </c>
    </row>
    <row r="159" spans="2:18" customFormat="1" x14ac:dyDescent="0.25">
      <c r="B159" s="19" t="s">
        <v>1076</v>
      </c>
      <c r="C159" s="3" t="s">
        <v>628</v>
      </c>
      <c r="D159" s="3">
        <v>15.666666666666666</v>
      </c>
      <c r="E159" s="3">
        <v>14.885709639705864</v>
      </c>
      <c r="F159" s="3">
        <v>320</v>
      </c>
      <c r="G159" s="4">
        <v>28.74</v>
      </c>
      <c r="H159" s="7"/>
      <c r="I159" s="7"/>
      <c r="J159" s="38">
        <f t="shared" ref="J159:J164" si="41">EXP(2.630349 -10.089983/D159+ 0.075246*E159+ 0.000075*F159)</f>
        <v>22.883076948034084</v>
      </c>
      <c r="K159" s="37">
        <f t="shared" ref="K159:K164" si="42">EXP(LN(E159) -10.900122 * (1/D159 - 0.1))</f>
        <v>22.079761066061732</v>
      </c>
      <c r="L159" s="37">
        <f t="shared" ref="L159:L164" si="43">EXP(0.830452 -20.722084/D159+ 0.164495*E159+ 0.001994*F159)</f>
        <v>13.38949701027305</v>
      </c>
      <c r="M159" s="39">
        <f t="shared" ref="M159:M164" si="44">EXP(2.239672 -32.894188/D159+ 0.260104*E159+ 0.002181*F159)</f>
        <v>111.0294630361565</v>
      </c>
      <c r="N159" s="117"/>
      <c r="O159" s="38">
        <f t="shared" si="29"/>
        <v>1.4606219328532395</v>
      </c>
      <c r="P159" s="37">
        <f t="shared" si="30"/>
        <v>1.4093464510252169</v>
      </c>
      <c r="Q159" s="37">
        <f t="shared" si="31"/>
        <v>0.85464874533657775</v>
      </c>
      <c r="R159" s="39">
        <f t="shared" si="32"/>
        <v>7.086987002307862</v>
      </c>
    </row>
    <row r="160" spans="2:18" customFormat="1" x14ac:dyDescent="0.25">
      <c r="B160" s="19" t="s">
        <v>1076</v>
      </c>
      <c r="C160" s="3" t="s">
        <v>629</v>
      </c>
      <c r="D160" s="3">
        <v>11.25</v>
      </c>
      <c r="E160" s="3">
        <v>9.3781243507974459</v>
      </c>
      <c r="F160" s="3">
        <v>420</v>
      </c>
      <c r="G160" s="4">
        <v>14.18</v>
      </c>
      <c r="H160" s="7"/>
      <c r="I160" s="7"/>
      <c r="J160" s="38">
        <f t="shared" si="41"/>
        <v>11.829873291110506</v>
      </c>
      <c r="K160" s="37">
        <f t="shared" si="42"/>
        <v>10.58557523100516</v>
      </c>
      <c r="L160" s="37">
        <f t="shared" si="43"/>
        <v>3.9299375802311718</v>
      </c>
      <c r="M160" s="39">
        <f t="shared" si="44"/>
        <v>14.455165632833392</v>
      </c>
      <c r="N160" s="117"/>
      <c r="O160" s="38">
        <f t="shared" si="29"/>
        <v>1.051544292543156</v>
      </c>
      <c r="P160" s="37">
        <f t="shared" si="30"/>
        <v>0.940940020533792</v>
      </c>
      <c r="Q160" s="37">
        <f t="shared" si="31"/>
        <v>0.3493277849094375</v>
      </c>
      <c r="R160" s="39">
        <f t="shared" si="32"/>
        <v>1.2849036118074126</v>
      </c>
    </row>
    <row r="161" spans="2:18" customFormat="1" x14ac:dyDescent="0.25">
      <c r="B161" s="19" t="s">
        <v>1076</v>
      </c>
      <c r="C161" s="3" t="s">
        <v>630</v>
      </c>
      <c r="D161" s="3">
        <v>10.25</v>
      </c>
      <c r="E161" s="3">
        <v>10.042139711774903</v>
      </c>
      <c r="F161" s="3">
        <v>380</v>
      </c>
      <c r="G161" s="4">
        <v>11.47</v>
      </c>
      <c r="H161" s="7"/>
      <c r="I161" s="7"/>
      <c r="J161" s="38">
        <f t="shared" si="41"/>
        <v>11.359918731911211</v>
      </c>
      <c r="K161" s="37">
        <f t="shared" si="42"/>
        <v>10.312697197649959</v>
      </c>
      <c r="L161" s="37">
        <f t="shared" si="43"/>
        <v>3.3817287396604008</v>
      </c>
      <c r="M161" s="39">
        <f t="shared" si="44"/>
        <v>11.837395545278572</v>
      </c>
      <c r="N161" s="117"/>
      <c r="O161" s="38">
        <f t="shared" si="29"/>
        <v>1.1082847543328012</v>
      </c>
      <c r="P161" s="37">
        <f t="shared" si="30"/>
        <v>1.0061167997707277</v>
      </c>
      <c r="Q161" s="37">
        <f t="shared" si="31"/>
        <v>0.32992475508881958</v>
      </c>
      <c r="R161" s="39">
        <f t="shared" si="32"/>
        <v>1.1548678580759582</v>
      </c>
    </row>
    <row r="162" spans="2:18" customFormat="1" x14ac:dyDescent="0.25">
      <c r="B162" s="19" t="s">
        <v>1076</v>
      </c>
      <c r="C162" s="3" t="s">
        <v>631</v>
      </c>
      <c r="D162" s="3">
        <v>11.166666666666666</v>
      </c>
      <c r="E162" s="3">
        <v>14.821507266677147</v>
      </c>
      <c r="F162" s="3">
        <v>320</v>
      </c>
      <c r="G162" s="4">
        <v>16.98</v>
      </c>
      <c r="H162" s="7"/>
      <c r="I162" s="7"/>
      <c r="J162" s="38">
        <f t="shared" si="41"/>
        <v>17.567095329217246</v>
      </c>
      <c r="K162" s="37">
        <f t="shared" si="42"/>
        <v>16.609273621000401</v>
      </c>
      <c r="L162" s="37">
        <f t="shared" si="43"/>
        <v>7.7747929143996677</v>
      </c>
      <c r="M162" s="39">
        <f t="shared" si="44"/>
        <v>46.851224595494443</v>
      </c>
      <c r="N162" s="117"/>
      <c r="O162" s="38">
        <f t="shared" si="29"/>
        <v>1.5731727160493056</v>
      </c>
      <c r="P162" s="37">
        <f t="shared" si="30"/>
        <v>1.4873976377015286</v>
      </c>
      <c r="Q162" s="37">
        <f t="shared" si="31"/>
        <v>0.69625011173728368</v>
      </c>
      <c r="R162" s="39">
        <f t="shared" si="32"/>
        <v>4.195632053327861</v>
      </c>
    </row>
    <row r="163" spans="2:18" customFormat="1" x14ac:dyDescent="0.25">
      <c r="B163" s="19" t="s">
        <v>1076</v>
      </c>
      <c r="C163" s="3" t="s">
        <v>632</v>
      </c>
      <c r="D163" s="3">
        <v>11.166666666666666</v>
      </c>
      <c r="E163" s="3">
        <v>14.787078678368959</v>
      </c>
      <c r="F163" s="3">
        <v>360</v>
      </c>
      <c r="G163" s="4">
        <v>16.45</v>
      </c>
      <c r="H163" s="7"/>
      <c r="I163" s="7"/>
      <c r="J163" s="38">
        <f t="shared" si="41"/>
        <v>17.57428853220776</v>
      </c>
      <c r="K163" s="37">
        <f t="shared" si="42"/>
        <v>16.570692265318641</v>
      </c>
      <c r="L163" s="37">
        <f t="shared" si="43"/>
        <v>8.3727592717615558</v>
      </c>
      <c r="M163" s="39">
        <f t="shared" si="44"/>
        <v>50.666357665584563</v>
      </c>
      <c r="N163" s="117"/>
      <c r="O163" s="38">
        <f t="shared" si="29"/>
        <v>1.573816883481292</v>
      </c>
      <c r="P163" s="37">
        <f t="shared" si="30"/>
        <v>1.4839425909240576</v>
      </c>
      <c r="Q163" s="37">
        <f t="shared" si="31"/>
        <v>0.74979933776969165</v>
      </c>
      <c r="R163" s="39">
        <f t="shared" si="32"/>
        <v>4.5372857610971256</v>
      </c>
    </row>
    <row r="164" spans="2:18" customFormat="1" x14ac:dyDescent="0.25">
      <c r="B164" s="19" t="s">
        <v>1076</v>
      </c>
      <c r="C164" s="3" t="s">
        <v>633</v>
      </c>
      <c r="D164" s="3">
        <v>12.5</v>
      </c>
      <c r="E164" s="3">
        <v>4.9077190365363039</v>
      </c>
      <c r="F164" s="3">
        <v>180</v>
      </c>
      <c r="G164" s="4">
        <v>8.33</v>
      </c>
      <c r="H164" s="7"/>
      <c r="I164" s="7"/>
      <c r="J164" s="38">
        <f t="shared" si="41"/>
        <v>9.0787506235736917</v>
      </c>
      <c r="K164" s="37">
        <f t="shared" si="42"/>
        <v>6.1031908171118561</v>
      </c>
      <c r="L164" s="37">
        <f t="shared" si="43"/>
        <v>1.4034037317564134</v>
      </c>
      <c r="M164" s="39">
        <f t="shared" si="44"/>
        <v>3.5867062859719954</v>
      </c>
      <c r="N164" s="117"/>
      <c r="O164" s="38">
        <f t="shared" si="29"/>
        <v>0.72630004988589536</v>
      </c>
      <c r="P164" s="37">
        <f t="shared" si="30"/>
        <v>0.48825526536894848</v>
      </c>
      <c r="Q164" s="37">
        <f t="shared" si="31"/>
        <v>0.11227229854051307</v>
      </c>
      <c r="R164" s="39">
        <f t="shared" si="32"/>
        <v>0.28693650287775962</v>
      </c>
    </row>
    <row r="165" spans="2:18" customFormat="1" x14ac:dyDescent="0.25">
      <c r="B165" s="19" t="s">
        <v>1077</v>
      </c>
      <c r="C165" s="3" t="s">
        <v>634</v>
      </c>
      <c r="D165" s="3">
        <v>3.3333333333333335</v>
      </c>
      <c r="E165" s="3">
        <v>14.600551288534454</v>
      </c>
      <c r="F165" s="3">
        <v>1140</v>
      </c>
      <c r="G165" s="4">
        <v>4.54</v>
      </c>
      <c r="H165" s="7"/>
      <c r="I165" s="7"/>
      <c r="J165" s="38">
        <f t="shared" ref="J165:J196" si="45">EXP(1.663888 -2.480653/D165+ 0.089199*E165 -0.000146*F165)</f>
        <v>7.8115755181675519</v>
      </c>
      <c r="K165" s="37">
        <f t="shared" ref="K165:K196" si="46">EXP(LN(E165) -3.617786 * (1/D165- 0.1))</f>
        <v>7.0816156972016291</v>
      </c>
      <c r="L165" s="37">
        <f t="shared" ref="L165:L196" si="47">EXP(-0.668643 -4.714003/D165+ 0.181244*E165+ 0.00101*F165)</f>
        <v>5.5556666102611469</v>
      </c>
      <c r="M165" s="39">
        <f t="shared" ref="M165:M196" si="48">EXP(0.117821 -8.184507/D165+ 0.271737*E165+ 0.000896*F165)</f>
        <v>14.174136143403933</v>
      </c>
      <c r="N165" s="117"/>
      <c r="O165" s="38">
        <f t="shared" si="29"/>
        <v>2.3434726554502654</v>
      </c>
      <c r="P165" s="37">
        <f t="shared" si="30"/>
        <v>2.1244847091604888</v>
      </c>
      <c r="Q165" s="37">
        <f t="shared" si="31"/>
        <v>1.666699983078344</v>
      </c>
      <c r="R165" s="39">
        <f t="shared" si="32"/>
        <v>4.2522408430211796</v>
      </c>
    </row>
    <row r="166" spans="2:18" customFormat="1" x14ac:dyDescent="0.25">
      <c r="B166" s="19" t="s">
        <v>1077</v>
      </c>
      <c r="C166" s="3" t="s">
        <v>635</v>
      </c>
      <c r="D166" s="3">
        <v>3.3333333333333335</v>
      </c>
      <c r="E166" s="3">
        <v>12.174220607932517</v>
      </c>
      <c r="F166" s="3">
        <v>1120</v>
      </c>
      <c r="G166" s="4">
        <v>5.32</v>
      </c>
      <c r="H166" s="7"/>
      <c r="I166" s="7"/>
      <c r="J166" s="38">
        <f t="shared" si="45"/>
        <v>6.3097774341590513</v>
      </c>
      <c r="K166" s="37">
        <f t="shared" si="46"/>
        <v>5.9047874326520864</v>
      </c>
      <c r="L166" s="37">
        <f t="shared" si="47"/>
        <v>3.5073492048368711</v>
      </c>
      <c r="M166" s="39">
        <f t="shared" si="48"/>
        <v>7.2006772589241503</v>
      </c>
      <c r="N166" s="117"/>
      <c r="O166" s="38">
        <f t="shared" si="29"/>
        <v>1.8929332302477153</v>
      </c>
      <c r="P166" s="37">
        <f t="shared" si="30"/>
        <v>1.7714362297956259</v>
      </c>
      <c r="Q166" s="37">
        <f t="shared" si="31"/>
        <v>1.0522047614510612</v>
      </c>
      <c r="R166" s="39">
        <f t="shared" si="32"/>
        <v>2.160203177677245</v>
      </c>
    </row>
    <row r="167" spans="2:18" customFormat="1" x14ac:dyDescent="0.25">
      <c r="B167" s="19" t="s">
        <v>1077</v>
      </c>
      <c r="C167" s="3" t="s">
        <v>636</v>
      </c>
      <c r="D167" s="3">
        <v>6.25</v>
      </c>
      <c r="E167" s="3">
        <v>9.6583795198605138</v>
      </c>
      <c r="F167" s="3">
        <v>1080</v>
      </c>
      <c r="G167" s="4">
        <v>6.61</v>
      </c>
      <c r="H167" s="7"/>
      <c r="I167" s="7"/>
      <c r="J167" s="38">
        <f t="shared" si="45"/>
        <v>7.1765682901962178</v>
      </c>
      <c r="K167" s="37">
        <f t="shared" si="46"/>
        <v>7.7737970247170836</v>
      </c>
      <c r="L167" s="37">
        <f t="shared" si="47"/>
        <v>4.1306709759916282</v>
      </c>
      <c r="M167" s="39">
        <f t="shared" si="48"/>
        <v>11.028898404235195</v>
      </c>
      <c r="N167" s="117"/>
      <c r="O167" s="38">
        <f t="shared" si="29"/>
        <v>1.1482509264313949</v>
      </c>
      <c r="P167" s="37">
        <f t="shared" si="30"/>
        <v>1.2438075239547333</v>
      </c>
      <c r="Q167" s="37">
        <f t="shared" si="31"/>
        <v>0.66090735615866048</v>
      </c>
      <c r="R167" s="39">
        <f t="shared" si="32"/>
        <v>1.7646237446776312</v>
      </c>
    </row>
    <row r="168" spans="2:18" customFormat="1" x14ac:dyDescent="0.25">
      <c r="B168" s="19" t="s">
        <v>1077</v>
      </c>
      <c r="C168" s="3" t="s">
        <v>637</v>
      </c>
      <c r="D168" s="3">
        <v>8.75</v>
      </c>
      <c r="E168" s="3">
        <v>17.583559391722751</v>
      </c>
      <c r="F168" s="3">
        <v>460</v>
      </c>
      <c r="G168" s="4">
        <v>15.73</v>
      </c>
      <c r="H168" s="7"/>
      <c r="I168" s="7"/>
      <c r="J168" s="38">
        <f t="shared" si="45"/>
        <v>17.84388217496274</v>
      </c>
      <c r="K168" s="37">
        <f t="shared" si="46"/>
        <v>16.697878624216212</v>
      </c>
      <c r="L168" s="37">
        <f t="shared" si="47"/>
        <v>11.520504392649384</v>
      </c>
      <c r="M168" s="39">
        <f t="shared" si="48"/>
        <v>79.258324627344678</v>
      </c>
      <c r="N168" s="117"/>
      <c r="O168" s="38">
        <f t="shared" si="29"/>
        <v>2.0393008199957419</v>
      </c>
      <c r="P168" s="37">
        <f t="shared" si="30"/>
        <v>1.9083289856247099</v>
      </c>
      <c r="Q168" s="37">
        <f t="shared" si="31"/>
        <v>1.3166290734456438</v>
      </c>
      <c r="R168" s="39">
        <f t="shared" si="32"/>
        <v>9.0580942431251064</v>
      </c>
    </row>
    <row r="169" spans="2:18" customFormat="1" x14ac:dyDescent="0.25">
      <c r="B169" s="19" t="s">
        <v>1077</v>
      </c>
      <c r="C169" s="3" t="s">
        <v>638</v>
      </c>
      <c r="D169" s="3">
        <v>6.75</v>
      </c>
      <c r="E169" s="3">
        <v>10.339060947936767</v>
      </c>
      <c r="F169" s="3">
        <v>780</v>
      </c>
      <c r="G169" s="4">
        <v>7.28</v>
      </c>
      <c r="H169" s="7"/>
      <c r="I169" s="7"/>
      <c r="J169" s="38">
        <f t="shared" si="45"/>
        <v>8.2049509736699324</v>
      </c>
      <c r="K169" s="37">
        <f t="shared" si="46"/>
        <v>8.6862329367402786</v>
      </c>
      <c r="L169" s="37">
        <f t="shared" si="47"/>
        <v>3.6498240013843808</v>
      </c>
      <c r="M169" s="39">
        <f t="shared" si="48"/>
        <v>11.175086145661396</v>
      </c>
      <c r="N169" s="117"/>
      <c r="O169" s="38">
        <f t="shared" si="29"/>
        <v>1.2155482923955456</v>
      </c>
      <c r="P169" s="37">
        <f t="shared" si="30"/>
        <v>1.2868493239615229</v>
      </c>
      <c r="Q169" s="37">
        <f t="shared" si="31"/>
        <v>0.54071466687176006</v>
      </c>
      <c r="R169" s="39">
        <f t="shared" si="32"/>
        <v>1.6555683178757623</v>
      </c>
    </row>
    <row r="170" spans="2:18" customFormat="1" x14ac:dyDescent="0.25">
      <c r="B170" s="19" t="s">
        <v>1077</v>
      </c>
      <c r="C170" s="3" t="s">
        <v>639</v>
      </c>
      <c r="D170" s="3">
        <v>6.75</v>
      </c>
      <c r="E170" s="3">
        <v>9.5954161929807587</v>
      </c>
      <c r="F170" s="3">
        <v>320</v>
      </c>
      <c r="G170" s="4">
        <v>3.47</v>
      </c>
      <c r="H170" s="7"/>
      <c r="I170" s="7"/>
      <c r="J170" s="38">
        <f t="shared" si="45"/>
        <v>8.2117444604377283</v>
      </c>
      <c r="K170" s="37">
        <f t="shared" si="46"/>
        <v>8.0614690828216062</v>
      </c>
      <c r="L170" s="37">
        <f t="shared" si="47"/>
        <v>2.0043058626830534</v>
      </c>
      <c r="M170" s="39">
        <f t="shared" si="48"/>
        <v>6.0463274488555543</v>
      </c>
      <c r="N170" s="117"/>
      <c r="O170" s="38">
        <f t="shared" si="29"/>
        <v>1.2165547348796635</v>
      </c>
      <c r="P170" s="37">
        <f t="shared" si="30"/>
        <v>1.1942917159735713</v>
      </c>
      <c r="Q170" s="37">
        <f t="shared" si="31"/>
        <v>0.2969342018789709</v>
      </c>
      <c r="R170" s="39">
        <f t="shared" si="32"/>
        <v>0.89575221464526733</v>
      </c>
    </row>
    <row r="171" spans="2:18" customFormat="1" x14ac:dyDescent="0.25">
      <c r="B171" s="19" t="s">
        <v>1077</v>
      </c>
      <c r="C171" s="3" t="s">
        <v>640</v>
      </c>
      <c r="D171" s="3">
        <v>8.6666666666666661</v>
      </c>
      <c r="E171" s="3">
        <v>11.658077191485249</v>
      </c>
      <c r="F171" s="3">
        <v>400</v>
      </c>
      <c r="G171" s="4">
        <v>15.24</v>
      </c>
      <c r="H171" s="7"/>
      <c r="I171" s="7"/>
      <c r="J171" s="38">
        <f t="shared" si="45"/>
        <v>10.581927943319089</v>
      </c>
      <c r="K171" s="37">
        <f t="shared" si="46"/>
        <v>11.026936087723813</v>
      </c>
      <c r="L171" s="37">
        <f t="shared" si="47"/>
        <v>3.6854407294158102</v>
      </c>
      <c r="M171" s="39">
        <f t="shared" si="48"/>
        <v>14.876543778496988</v>
      </c>
      <c r="N171" s="117"/>
      <c r="O171" s="38">
        <f t="shared" si="29"/>
        <v>1.2209916857675873</v>
      </c>
      <c r="P171" s="37">
        <f t="shared" si="30"/>
        <v>1.2723387793527479</v>
      </c>
      <c r="Q171" s="37">
        <f t="shared" si="31"/>
        <v>0.42524316108643967</v>
      </c>
      <c r="R171" s="39">
        <f t="shared" si="32"/>
        <v>1.7165242821342679</v>
      </c>
    </row>
    <row r="172" spans="2:18" customFormat="1" x14ac:dyDescent="0.25">
      <c r="B172" s="19" t="s">
        <v>1077</v>
      </c>
      <c r="C172" s="3" t="s">
        <v>641</v>
      </c>
      <c r="D172" s="3">
        <v>5.333333333333333</v>
      </c>
      <c r="E172" s="3">
        <v>16.699404870732415</v>
      </c>
      <c r="F172" s="3">
        <v>1560</v>
      </c>
      <c r="G172" s="4">
        <v>10.84</v>
      </c>
      <c r="H172" s="7"/>
      <c r="I172" s="7"/>
      <c r="J172" s="38">
        <f t="shared" si="45"/>
        <v>11.711552848422656</v>
      </c>
      <c r="K172" s="37">
        <f t="shared" si="46"/>
        <v>12.168088246886011</v>
      </c>
      <c r="L172" s="37">
        <f t="shared" si="47"/>
        <v>21.110031918994245</v>
      </c>
      <c r="M172" s="39">
        <f t="shared" si="48"/>
        <v>91.72840752017423</v>
      </c>
      <c r="N172" s="117"/>
      <c r="O172" s="38">
        <f t="shared" si="29"/>
        <v>2.195916159079248</v>
      </c>
      <c r="P172" s="37">
        <f t="shared" si="30"/>
        <v>2.2815165462911273</v>
      </c>
      <c r="Q172" s="37">
        <f t="shared" si="31"/>
        <v>3.958130984811421</v>
      </c>
      <c r="R172" s="39">
        <f t="shared" si="32"/>
        <v>17.199076410032671</v>
      </c>
    </row>
    <row r="173" spans="2:18" customFormat="1" x14ac:dyDescent="0.25">
      <c r="B173" s="19" t="s">
        <v>1077</v>
      </c>
      <c r="C173" s="3" t="s">
        <v>642</v>
      </c>
      <c r="D173" s="3">
        <v>5.333333333333333</v>
      </c>
      <c r="E173" s="3">
        <v>9.7413195079272388</v>
      </c>
      <c r="F173" s="3">
        <v>320</v>
      </c>
      <c r="G173" s="4">
        <v>2.63</v>
      </c>
      <c r="H173" s="7"/>
      <c r="I173" s="7"/>
      <c r="J173" s="38">
        <f t="shared" si="45"/>
        <v>7.545576679353724</v>
      </c>
      <c r="K173" s="37">
        <f t="shared" si="46"/>
        <v>7.0980514773501708</v>
      </c>
      <c r="L173" s="37">
        <f t="shared" si="47"/>
        <v>1.7095619197200225</v>
      </c>
      <c r="M173" s="39">
        <f t="shared" si="48"/>
        <v>4.5586333589663806</v>
      </c>
      <c r="N173" s="117"/>
      <c r="O173" s="38">
        <f t="shared" si="29"/>
        <v>1.4147956273788234</v>
      </c>
      <c r="P173" s="37">
        <f t="shared" si="30"/>
        <v>1.3308846520031572</v>
      </c>
      <c r="Q173" s="37">
        <f t="shared" si="31"/>
        <v>0.32054285994750426</v>
      </c>
      <c r="R173" s="39">
        <f t="shared" si="32"/>
        <v>0.85474375480619635</v>
      </c>
    </row>
    <row r="174" spans="2:18" customFormat="1" x14ac:dyDescent="0.25">
      <c r="B174" s="19" t="s">
        <v>1077</v>
      </c>
      <c r="C174" s="3" t="s">
        <v>643</v>
      </c>
      <c r="D174" s="3">
        <v>9.6666666666666661</v>
      </c>
      <c r="E174" s="3">
        <v>15.196627204475183</v>
      </c>
      <c r="F174" s="3">
        <v>787</v>
      </c>
      <c r="G174" s="4">
        <v>12.53</v>
      </c>
      <c r="H174" s="7"/>
      <c r="I174" s="7"/>
      <c r="J174" s="38">
        <f t="shared" si="45"/>
        <v>14.124214631117983</v>
      </c>
      <c r="K174" s="37">
        <f t="shared" si="46"/>
        <v>15.008225007412701</v>
      </c>
      <c r="L174" s="37">
        <f t="shared" si="47"/>
        <v>10.944849915685719</v>
      </c>
      <c r="M174" s="39">
        <f t="shared" si="48"/>
        <v>60.690413232557049</v>
      </c>
      <c r="N174" s="117"/>
      <c r="O174" s="38">
        <f t="shared" si="29"/>
        <v>1.4611256514949638</v>
      </c>
      <c r="P174" s="37">
        <f t="shared" si="30"/>
        <v>1.5525750007668313</v>
      </c>
      <c r="Q174" s="37">
        <f t="shared" si="31"/>
        <v>1.1322258533467986</v>
      </c>
      <c r="R174" s="39">
        <f t="shared" si="32"/>
        <v>6.278318610264523</v>
      </c>
    </row>
    <row r="175" spans="2:18" customFormat="1" x14ac:dyDescent="0.25">
      <c r="B175" s="19" t="s">
        <v>1077</v>
      </c>
      <c r="C175" s="3" t="s">
        <v>644</v>
      </c>
      <c r="D175" s="3">
        <v>9.6666666666666661</v>
      </c>
      <c r="E175" s="3">
        <v>14.852170321173745</v>
      </c>
      <c r="F175" s="3">
        <v>787</v>
      </c>
      <c r="G175" s="4">
        <v>11.54</v>
      </c>
      <c r="H175" s="7"/>
      <c r="I175" s="7"/>
      <c r="J175" s="38">
        <f t="shared" si="45"/>
        <v>13.696844318914804</v>
      </c>
      <c r="K175" s="37">
        <f t="shared" si="46"/>
        <v>14.668038573911344</v>
      </c>
      <c r="L175" s="37">
        <f t="shared" si="47"/>
        <v>10.282447084434926</v>
      </c>
      <c r="M175" s="39">
        <f t="shared" si="48"/>
        <v>55.267446739102233</v>
      </c>
      <c r="N175" s="117"/>
      <c r="O175" s="38">
        <f t="shared" si="29"/>
        <v>1.4169149295429109</v>
      </c>
      <c r="P175" s="37">
        <f t="shared" si="30"/>
        <v>1.5173833007494495</v>
      </c>
      <c r="Q175" s="37">
        <f t="shared" si="31"/>
        <v>1.063701422527751</v>
      </c>
      <c r="R175" s="39">
        <f t="shared" si="32"/>
        <v>5.7173220764588519</v>
      </c>
    </row>
    <row r="176" spans="2:18" customFormat="1" x14ac:dyDescent="0.25">
      <c r="B176" s="19" t="s">
        <v>1077</v>
      </c>
      <c r="C176" s="3" t="s">
        <v>645</v>
      </c>
      <c r="D176" s="3">
        <v>9.6666666666666661</v>
      </c>
      <c r="E176" s="3">
        <v>12.157301763580147</v>
      </c>
      <c r="F176" s="3">
        <v>840</v>
      </c>
      <c r="G176" s="4">
        <v>10.95</v>
      </c>
      <c r="H176" s="7"/>
      <c r="I176" s="7"/>
      <c r="J176" s="38">
        <f t="shared" si="45"/>
        <v>10.687211974523246</v>
      </c>
      <c r="K176" s="37">
        <f t="shared" si="46"/>
        <v>12.006580005930161</v>
      </c>
      <c r="L176" s="37">
        <f t="shared" si="47"/>
        <v>6.6561385431584821</v>
      </c>
      <c r="M176" s="39">
        <f t="shared" si="48"/>
        <v>27.865143515637062</v>
      </c>
      <c r="N176" s="117"/>
      <c r="O176" s="38">
        <f t="shared" si="29"/>
        <v>1.1055736525368876</v>
      </c>
      <c r="P176" s="37">
        <f t="shared" si="30"/>
        <v>1.242060000613465</v>
      </c>
      <c r="Q176" s="37">
        <f t="shared" si="31"/>
        <v>0.68856605618880851</v>
      </c>
      <c r="R176" s="39">
        <f t="shared" si="32"/>
        <v>2.882601053341765</v>
      </c>
    </row>
    <row r="177" spans="2:18" customFormat="1" x14ac:dyDescent="0.25">
      <c r="B177" s="19" t="s">
        <v>1077</v>
      </c>
      <c r="C177" s="3" t="s">
        <v>646</v>
      </c>
      <c r="D177" s="3">
        <v>7.666666666666667</v>
      </c>
      <c r="E177" s="3">
        <v>7.157157775606688</v>
      </c>
      <c r="F177" s="3">
        <v>1380</v>
      </c>
      <c r="G177" s="4">
        <v>7.52</v>
      </c>
      <c r="H177" s="7"/>
      <c r="I177" s="7"/>
      <c r="J177" s="38">
        <f t="shared" si="45"/>
        <v>5.9136064967942801</v>
      </c>
      <c r="K177" s="37">
        <f t="shared" si="46"/>
        <v>6.4109432501403019</v>
      </c>
      <c r="L177" s="37">
        <f t="shared" si="47"/>
        <v>4.085642290301335</v>
      </c>
      <c r="M177" s="39">
        <f t="shared" si="48"/>
        <v>9.3149551680574199</v>
      </c>
      <c r="N177" s="117"/>
      <c r="O177" s="38">
        <f t="shared" si="29"/>
        <v>0.77133997784273212</v>
      </c>
      <c r="P177" s="37">
        <f t="shared" si="30"/>
        <v>0.83620998914873501</v>
      </c>
      <c r="Q177" s="37">
        <f t="shared" si="31"/>
        <v>0.53290986395234807</v>
      </c>
      <c r="R177" s="39">
        <f t="shared" si="32"/>
        <v>1.2149941523553156</v>
      </c>
    </row>
    <row r="178" spans="2:18" customFormat="1" x14ac:dyDescent="0.25">
      <c r="B178" s="19" t="s">
        <v>1077</v>
      </c>
      <c r="C178" s="3" t="s">
        <v>647</v>
      </c>
      <c r="D178" s="3">
        <v>3.25</v>
      </c>
      <c r="E178" s="3">
        <v>13.146601827222197</v>
      </c>
      <c r="F178" s="3">
        <v>940</v>
      </c>
      <c r="G178" s="4">
        <v>3.85</v>
      </c>
      <c r="H178" s="7"/>
      <c r="I178" s="7"/>
      <c r="J178" s="38">
        <f t="shared" si="45"/>
        <v>6.9312064588283313</v>
      </c>
      <c r="K178" s="37">
        <f t="shared" si="46"/>
        <v>6.2014118630327788</v>
      </c>
      <c r="L178" s="37">
        <f t="shared" si="47"/>
        <v>3.363685473720647</v>
      </c>
      <c r="M178" s="39">
        <f t="shared" si="48"/>
        <v>7.4944990735413501</v>
      </c>
      <c r="N178" s="117"/>
      <c r="O178" s="38">
        <f t="shared" si="29"/>
        <v>2.1326789104087172</v>
      </c>
      <c r="P178" s="37">
        <f t="shared" si="30"/>
        <v>1.9081267270870088</v>
      </c>
      <c r="Q178" s="37">
        <f t="shared" si="31"/>
        <v>1.034980145760199</v>
      </c>
      <c r="R178" s="39">
        <f t="shared" si="32"/>
        <v>2.3059997149358002</v>
      </c>
    </row>
    <row r="179" spans="2:18" customFormat="1" x14ac:dyDescent="0.25">
      <c r="B179" s="19" t="s">
        <v>1077</v>
      </c>
      <c r="C179" s="3" t="s">
        <v>648</v>
      </c>
      <c r="D179" s="3">
        <v>5.083333333333333</v>
      </c>
      <c r="E179" s="3">
        <v>10.432378760936366</v>
      </c>
      <c r="F179" s="3">
        <v>580</v>
      </c>
      <c r="G179" s="4">
        <v>6.44</v>
      </c>
      <c r="H179" s="7"/>
      <c r="I179" s="7"/>
      <c r="J179" s="38">
        <f t="shared" si="45"/>
        <v>7.5516678158065984</v>
      </c>
      <c r="K179" s="37">
        <f t="shared" si="46"/>
        <v>7.3521832179424846</v>
      </c>
      <c r="L179" s="37">
        <f t="shared" si="47"/>
        <v>2.4123905942961499</v>
      </c>
      <c r="M179" s="39">
        <f t="shared" si="48"/>
        <v>6.4385113498569844</v>
      </c>
      <c r="N179" s="117"/>
      <c r="O179" s="38">
        <f t="shared" si="29"/>
        <v>1.4855739965521177</v>
      </c>
      <c r="P179" s="37">
        <f t="shared" si="30"/>
        <v>1.4463311248411446</v>
      </c>
      <c r="Q179" s="37">
        <f t="shared" si="31"/>
        <v>0.47456864150088196</v>
      </c>
      <c r="R179" s="39">
        <f t="shared" si="32"/>
        <v>1.2665923966931774</v>
      </c>
    </row>
    <row r="180" spans="2:18" customFormat="1" x14ac:dyDescent="0.25">
      <c r="B180" s="19" t="s">
        <v>1077</v>
      </c>
      <c r="C180" s="3" t="s">
        <v>649</v>
      </c>
      <c r="D180" s="3">
        <v>4.083333333333333</v>
      </c>
      <c r="E180" s="3">
        <v>12.825351034007035</v>
      </c>
      <c r="F180" s="3">
        <v>1140</v>
      </c>
      <c r="G180" s="4">
        <v>5.43</v>
      </c>
      <c r="H180" s="7"/>
      <c r="I180" s="7"/>
      <c r="J180" s="38">
        <f t="shared" si="45"/>
        <v>7.6442186472223881</v>
      </c>
      <c r="K180" s="37">
        <f t="shared" si="46"/>
        <v>7.5929026838803946</v>
      </c>
      <c r="L180" s="37">
        <f t="shared" si="47"/>
        <v>5.2217114310884547</v>
      </c>
      <c r="M180" s="39">
        <f t="shared" si="48"/>
        <v>13.735920731260405</v>
      </c>
      <c r="N180" s="117"/>
      <c r="O180" s="38">
        <f t="shared" si="29"/>
        <v>1.8720535462585441</v>
      </c>
      <c r="P180" s="37">
        <f t="shared" si="30"/>
        <v>1.8594863715625458</v>
      </c>
      <c r="Q180" s="37">
        <f t="shared" si="31"/>
        <v>1.2787864729196217</v>
      </c>
      <c r="R180" s="39">
        <f t="shared" si="32"/>
        <v>3.3638989545943851</v>
      </c>
    </row>
    <row r="181" spans="2:18" customFormat="1" x14ac:dyDescent="0.25">
      <c r="B181" s="19" t="s">
        <v>1077</v>
      </c>
      <c r="C181" s="3" t="s">
        <v>650</v>
      </c>
      <c r="D181" s="3">
        <v>4.333333333333333</v>
      </c>
      <c r="E181" s="3">
        <v>12.912706195803306</v>
      </c>
      <c r="F181" s="3">
        <v>900</v>
      </c>
      <c r="G181" s="4">
        <v>11.6</v>
      </c>
      <c r="H181" s="7"/>
      <c r="I181" s="7"/>
      <c r="J181" s="38">
        <f t="shared" si="45"/>
        <v>8.2633501737353114</v>
      </c>
      <c r="K181" s="37">
        <f t="shared" si="46"/>
        <v>8.0455304264550396</v>
      </c>
      <c r="L181" s="37">
        <f t="shared" si="47"/>
        <v>4.4498067826146332</v>
      </c>
      <c r="M181" s="39">
        <f t="shared" si="48"/>
        <v>12.734930600579887</v>
      </c>
      <c r="N181" s="117"/>
      <c r="O181" s="38">
        <f t="shared" si="29"/>
        <v>1.9069269631696875</v>
      </c>
      <c r="P181" s="37">
        <f t="shared" si="30"/>
        <v>1.8566608676434708</v>
      </c>
      <c r="Q181" s="37">
        <f t="shared" si="31"/>
        <v>1.0268784882956847</v>
      </c>
      <c r="R181" s="39">
        <f t="shared" si="32"/>
        <v>2.9388301385953586</v>
      </c>
    </row>
    <row r="182" spans="2:18" customFormat="1" x14ac:dyDescent="0.25">
      <c r="B182" s="19" t="s">
        <v>1077</v>
      </c>
      <c r="C182" s="3" t="s">
        <v>651</v>
      </c>
      <c r="D182" s="3">
        <v>2.25</v>
      </c>
      <c r="E182" s="3">
        <v>6.3167701491449453</v>
      </c>
      <c r="F182" s="3">
        <v>1371</v>
      </c>
      <c r="G182" s="4">
        <v>5.0199999999999996</v>
      </c>
      <c r="H182" s="7"/>
      <c r="I182" s="7"/>
      <c r="J182" s="38">
        <f t="shared" si="45"/>
        <v>2.5210087929692664</v>
      </c>
      <c r="K182" s="37">
        <f t="shared" si="46"/>
        <v>1.8168091284953289</v>
      </c>
      <c r="L182" s="37">
        <f t="shared" si="47"/>
        <v>0.79122828047842808</v>
      </c>
      <c r="M182" s="39">
        <f t="shared" si="48"/>
        <v>0.56280532247735371</v>
      </c>
      <c r="N182" s="117"/>
      <c r="O182" s="38">
        <f t="shared" si="29"/>
        <v>1.1204483524307851</v>
      </c>
      <c r="P182" s="37">
        <f t="shared" si="30"/>
        <v>0.80747072377570173</v>
      </c>
      <c r="Q182" s="37">
        <f t="shared" si="31"/>
        <v>0.35165701354596801</v>
      </c>
      <c r="R182" s="39">
        <f t="shared" si="32"/>
        <v>0.25013569887882386</v>
      </c>
    </row>
    <row r="183" spans="2:18" customFormat="1" x14ac:dyDescent="0.25">
      <c r="B183" s="19" t="s">
        <v>1077</v>
      </c>
      <c r="C183" s="3" t="s">
        <v>652</v>
      </c>
      <c r="D183" s="3">
        <v>7.666666666666667</v>
      </c>
      <c r="E183" s="3">
        <v>15.144456108258671</v>
      </c>
      <c r="F183" s="3">
        <v>680</v>
      </c>
      <c r="G183" s="4">
        <v>13.08</v>
      </c>
      <c r="H183" s="7"/>
      <c r="I183" s="7"/>
      <c r="J183" s="38">
        <f t="shared" si="45"/>
        <v>13.355321312558543</v>
      </c>
      <c r="K183" s="37">
        <f t="shared" si="46"/>
        <v>13.565475529293749</v>
      </c>
      <c r="L183" s="37">
        <f t="shared" si="47"/>
        <v>8.5688098275213349</v>
      </c>
      <c r="M183" s="39">
        <f t="shared" si="48"/>
        <v>43.591652612583687</v>
      </c>
      <c r="N183" s="117"/>
      <c r="O183" s="38">
        <f t="shared" si="29"/>
        <v>1.7419984320728532</v>
      </c>
      <c r="P183" s="37">
        <f t="shared" si="30"/>
        <v>1.7694098516470107</v>
      </c>
      <c r="Q183" s="37">
        <f t="shared" si="31"/>
        <v>1.1176708470680001</v>
      </c>
      <c r="R183" s="39">
        <f t="shared" si="32"/>
        <v>5.6858677320761331</v>
      </c>
    </row>
    <row r="184" spans="2:18" customFormat="1" x14ac:dyDescent="0.25">
      <c r="B184" s="19" t="s">
        <v>1077</v>
      </c>
      <c r="C184" s="3" t="s">
        <v>653</v>
      </c>
      <c r="D184" s="3">
        <v>7.666666666666667</v>
      </c>
      <c r="E184" s="3">
        <v>14.583550326471313</v>
      </c>
      <c r="F184" s="3">
        <v>660</v>
      </c>
      <c r="G184" s="4">
        <v>13.39</v>
      </c>
      <c r="H184" s="7"/>
      <c r="I184" s="7"/>
      <c r="J184" s="38">
        <f t="shared" si="45"/>
        <v>12.740713722999669</v>
      </c>
      <c r="K184" s="37">
        <f t="shared" si="46"/>
        <v>13.063050509690273</v>
      </c>
      <c r="L184" s="37">
        <f t="shared" si="47"/>
        <v>7.5857238411157333</v>
      </c>
      <c r="M184" s="39">
        <f t="shared" si="48"/>
        <v>36.764283755357312</v>
      </c>
      <c r="N184" s="117"/>
      <c r="O184" s="38">
        <f t="shared" si="29"/>
        <v>1.6618322247390871</v>
      </c>
      <c r="P184" s="37">
        <f t="shared" si="30"/>
        <v>1.7038761534378617</v>
      </c>
      <c r="Q184" s="37">
        <f t="shared" si="31"/>
        <v>0.98944224014553039</v>
      </c>
      <c r="R184" s="39">
        <f t="shared" si="32"/>
        <v>4.7953413593944321</v>
      </c>
    </row>
    <row r="185" spans="2:18" customFormat="1" x14ac:dyDescent="0.25">
      <c r="B185" s="19" t="s">
        <v>1077</v>
      </c>
      <c r="C185" s="3" t="s">
        <v>654</v>
      </c>
      <c r="D185" s="3">
        <v>9.3333333333333339</v>
      </c>
      <c r="E185" s="3">
        <v>15.923832327869</v>
      </c>
      <c r="F185" s="3">
        <v>680</v>
      </c>
      <c r="G185" s="4">
        <v>16.45</v>
      </c>
      <c r="H185" s="7"/>
      <c r="I185" s="7"/>
      <c r="J185" s="38">
        <f t="shared" si="45"/>
        <v>15.168390191215048</v>
      </c>
      <c r="K185" s="37">
        <f t="shared" si="46"/>
        <v>15.517610604201348</v>
      </c>
      <c r="L185" s="37">
        <f t="shared" si="47"/>
        <v>11.014188622885417</v>
      </c>
      <c r="M185" s="39">
        <f t="shared" si="48"/>
        <v>65.188557886420341</v>
      </c>
      <c r="N185" s="117"/>
      <c r="O185" s="38">
        <f t="shared" si="29"/>
        <v>1.6251846633444693</v>
      </c>
      <c r="P185" s="37">
        <f t="shared" si="30"/>
        <v>1.6626011361644299</v>
      </c>
      <c r="Q185" s="37">
        <f t="shared" si="31"/>
        <v>1.1800916381662947</v>
      </c>
      <c r="R185" s="39">
        <f t="shared" si="32"/>
        <v>6.9844883449736077</v>
      </c>
    </row>
    <row r="186" spans="2:18" customFormat="1" x14ac:dyDescent="0.25">
      <c r="B186" s="19" t="s">
        <v>1077</v>
      </c>
      <c r="C186" s="3" t="s">
        <v>655</v>
      </c>
      <c r="D186" s="3">
        <v>9.3333333333333339</v>
      </c>
      <c r="E186" s="3">
        <v>13.129456590333278</v>
      </c>
      <c r="F186" s="3">
        <v>1220</v>
      </c>
      <c r="G186" s="4">
        <v>9.81</v>
      </c>
      <c r="H186" s="7"/>
      <c r="I186" s="7"/>
      <c r="J186" s="38">
        <f t="shared" si="45"/>
        <v>10.925703673718527</v>
      </c>
      <c r="K186" s="37">
        <f t="shared" si="46"/>
        <v>12.794520227206013</v>
      </c>
      <c r="L186" s="37">
        <f t="shared" si="47"/>
        <v>11.451497188332182</v>
      </c>
      <c r="M186" s="39">
        <f t="shared" si="48"/>
        <v>49.490893413316961</v>
      </c>
      <c r="N186" s="117"/>
      <c r="O186" s="38">
        <f t="shared" si="29"/>
        <v>1.1706111078984136</v>
      </c>
      <c r="P186" s="37">
        <f t="shared" si="30"/>
        <v>1.3708414529149298</v>
      </c>
      <c r="Q186" s="37">
        <f t="shared" si="31"/>
        <v>1.2269461273213051</v>
      </c>
      <c r="R186" s="39">
        <f t="shared" si="32"/>
        <v>5.3025957228553882</v>
      </c>
    </row>
    <row r="187" spans="2:18" customFormat="1" x14ac:dyDescent="0.25">
      <c r="B187" s="19" t="s">
        <v>1077</v>
      </c>
      <c r="C187" s="3" t="s">
        <v>656</v>
      </c>
      <c r="D187" s="3">
        <v>7.666666666666667</v>
      </c>
      <c r="E187" s="3">
        <v>11.644404029905555</v>
      </c>
      <c r="F187" s="3">
        <v>720</v>
      </c>
      <c r="G187" s="4">
        <v>7.54</v>
      </c>
      <c r="H187" s="7"/>
      <c r="I187" s="7"/>
      <c r="J187" s="38">
        <f t="shared" si="45"/>
        <v>9.7169692109922448</v>
      </c>
      <c r="K187" s="37">
        <f t="shared" si="46"/>
        <v>10.430343406968078</v>
      </c>
      <c r="L187" s="37">
        <f t="shared" si="47"/>
        <v>4.7311363059787483</v>
      </c>
      <c r="M187" s="39">
        <f t="shared" si="48"/>
        <v>17.454753642097184</v>
      </c>
      <c r="N187" s="117"/>
      <c r="O187" s="38">
        <f t="shared" si="29"/>
        <v>1.2674307666511624</v>
      </c>
      <c r="P187" s="37">
        <f t="shared" si="30"/>
        <v>1.3604795748219232</v>
      </c>
      <c r="Q187" s="37">
        <f t="shared" si="31"/>
        <v>0.61710473556244538</v>
      </c>
      <c r="R187" s="39">
        <f t="shared" si="32"/>
        <v>2.2767069967952849</v>
      </c>
    </row>
    <row r="188" spans="2:18" customFormat="1" x14ac:dyDescent="0.25">
      <c r="B188" s="19" t="s">
        <v>1077</v>
      </c>
      <c r="C188" s="3" t="s">
        <v>657</v>
      </c>
      <c r="D188" s="3">
        <v>13.083333333333334</v>
      </c>
      <c r="E188" s="3">
        <v>13.484737078577577</v>
      </c>
      <c r="F188" s="3">
        <v>1080</v>
      </c>
      <c r="G188" s="4">
        <v>11.18</v>
      </c>
      <c r="H188" s="7"/>
      <c r="I188" s="7"/>
      <c r="J188" s="38">
        <f t="shared" si="45"/>
        <v>12.421502106151211</v>
      </c>
      <c r="K188" s="37">
        <f t="shared" si="46"/>
        <v>14.684879866429997</v>
      </c>
      <c r="L188" s="37">
        <f t="shared" si="47"/>
        <v>12.254322419024938</v>
      </c>
      <c r="M188" s="39">
        <f t="shared" si="48"/>
        <v>61.820534671420297</v>
      </c>
      <c r="N188" s="117"/>
      <c r="O188" s="38">
        <f t="shared" si="29"/>
        <v>0.94941417371856385</v>
      </c>
      <c r="P188" s="37">
        <f t="shared" si="30"/>
        <v>1.1224111999819104</v>
      </c>
      <c r="Q188" s="37">
        <f t="shared" si="31"/>
        <v>0.93663610846050471</v>
      </c>
      <c r="R188" s="39">
        <f t="shared" si="32"/>
        <v>4.7251364080066471</v>
      </c>
    </row>
    <row r="189" spans="2:18" customFormat="1" x14ac:dyDescent="0.25">
      <c r="B189" s="19" t="s">
        <v>1077</v>
      </c>
      <c r="C189" s="3" t="s">
        <v>658</v>
      </c>
      <c r="D189" s="3">
        <v>13.083333333333334</v>
      </c>
      <c r="E189" s="3">
        <v>12.972426850354822</v>
      </c>
      <c r="F189" s="3">
        <v>1200</v>
      </c>
      <c r="G189" s="4">
        <v>9.8699999999999992</v>
      </c>
      <c r="H189" s="7"/>
      <c r="I189" s="7"/>
      <c r="J189" s="38">
        <f t="shared" si="45"/>
        <v>11.66055118993796</v>
      </c>
      <c r="K189" s="37">
        <f t="shared" si="46"/>
        <v>14.126973982766444</v>
      </c>
      <c r="L189" s="37">
        <f t="shared" si="47"/>
        <v>12.606664091377919</v>
      </c>
      <c r="M189" s="39">
        <f t="shared" si="48"/>
        <v>59.891940152748674</v>
      </c>
      <c r="N189" s="117"/>
      <c r="O189" s="38">
        <f t="shared" si="29"/>
        <v>0.8912523202500352</v>
      </c>
      <c r="P189" s="37">
        <f t="shared" si="30"/>
        <v>1.0797687120585817</v>
      </c>
      <c r="Q189" s="37">
        <f t="shared" si="31"/>
        <v>0.96356668214353514</v>
      </c>
      <c r="R189" s="39">
        <f t="shared" si="32"/>
        <v>4.5777279097642296</v>
      </c>
    </row>
    <row r="190" spans="2:18" customFormat="1" x14ac:dyDescent="0.25">
      <c r="B190" s="19" t="s">
        <v>1077</v>
      </c>
      <c r="C190" s="3" t="s">
        <v>659</v>
      </c>
      <c r="D190" s="3">
        <v>7.25</v>
      </c>
      <c r="E190" s="3">
        <v>12.001866635947994</v>
      </c>
      <c r="F190" s="3">
        <v>880</v>
      </c>
      <c r="G190" s="4">
        <v>10.18</v>
      </c>
      <c r="H190" s="7"/>
      <c r="I190" s="7"/>
      <c r="J190" s="38">
        <f t="shared" si="45"/>
        <v>9.6196075398993557</v>
      </c>
      <c r="K190" s="37">
        <f t="shared" si="46"/>
        <v>10.462901656322895</v>
      </c>
      <c r="L190" s="37">
        <f t="shared" si="47"/>
        <v>5.7271384393515756</v>
      </c>
      <c r="M190" s="39">
        <f t="shared" si="48"/>
        <v>20.879226489604729</v>
      </c>
      <c r="N190" s="117"/>
      <c r="O190" s="38">
        <f t="shared" si="29"/>
        <v>1.326842419296463</v>
      </c>
      <c r="P190" s="37">
        <f t="shared" si="30"/>
        <v>1.4431588491479856</v>
      </c>
      <c r="Q190" s="37">
        <f t="shared" si="31"/>
        <v>0.78995012956573452</v>
      </c>
      <c r="R190" s="39">
        <f t="shared" si="32"/>
        <v>2.8798933089109973</v>
      </c>
    </row>
    <row r="191" spans="2:18" customFormat="1" x14ac:dyDescent="0.25">
      <c r="B191" s="19" t="s">
        <v>1077</v>
      </c>
      <c r="C191" s="3" t="s">
        <v>660</v>
      </c>
      <c r="D191" s="3">
        <v>7.25</v>
      </c>
      <c r="E191" s="3">
        <v>13.848307656863071</v>
      </c>
      <c r="F191" s="3">
        <v>660</v>
      </c>
      <c r="G191" s="4">
        <v>9.57</v>
      </c>
      <c r="H191" s="7"/>
      <c r="I191" s="7"/>
      <c r="J191" s="38">
        <f t="shared" si="45"/>
        <v>11.71211949794435</v>
      </c>
      <c r="K191" s="37">
        <f t="shared" si="46"/>
        <v>12.072578834218724</v>
      </c>
      <c r="L191" s="37">
        <f t="shared" si="47"/>
        <v>6.4088020296473696</v>
      </c>
      <c r="M191" s="39">
        <f t="shared" si="48"/>
        <v>28.314698756784281</v>
      </c>
      <c r="N191" s="117"/>
      <c r="O191" s="38">
        <f t="shared" si="29"/>
        <v>1.6154647583371518</v>
      </c>
      <c r="P191" s="37">
        <f t="shared" si="30"/>
        <v>1.6651832874784447</v>
      </c>
      <c r="Q191" s="37">
        <f t="shared" si="31"/>
        <v>0.88397269374446474</v>
      </c>
      <c r="R191" s="39">
        <f t="shared" si="32"/>
        <v>3.9054756905909356</v>
      </c>
    </row>
    <row r="192" spans="2:18" customFormat="1" x14ac:dyDescent="0.25">
      <c r="B192" s="19" t="s">
        <v>1077</v>
      </c>
      <c r="C192" s="3" t="s">
        <v>661</v>
      </c>
      <c r="D192" s="3">
        <v>6.166666666666667</v>
      </c>
      <c r="E192" s="3">
        <v>6.3230989745882464</v>
      </c>
      <c r="F192" s="3">
        <v>2200</v>
      </c>
      <c r="G192" s="4">
        <v>4.08</v>
      </c>
      <c r="H192" s="7"/>
      <c r="I192" s="7"/>
      <c r="J192" s="38">
        <f t="shared" si="45"/>
        <v>4.5016052319575293</v>
      </c>
      <c r="K192" s="37">
        <f t="shared" si="46"/>
        <v>5.0496555450493208</v>
      </c>
      <c r="L192" s="37">
        <f t="shared" si="47"/>
        <v>6.9236828487173323</v>
      </c>
      <c r="M192" s="39">
        <f t="shared" si="48"/>
        <v>11.941546171800248</v>
      </c>
      <c r="N192" s="117"/>
      <c r="O192" s="38">
        <f t="shared" si="29"/>
        <v>0.72999003761473447</v>
      </c>
      <c r="P192" s="37">
        <f t="shared" si="30"/>
        <v>0.81886306135934928</v>
      </c>
      <c r="Q192" s="37">
        <f t="shared" si="31"/>
        <v>1.1227593808730809</v>
      </c>
      <c r="R192" s="39">
        <f t="shared" si="32"/>
        <v>1.9364669467784184</v>
      </c>
    </row>
    <row r="193" spans="2:18" customFormat="1" x14ac:dyDescent="0.25">
      <c r="B193" s="19" t="s">
        <v>1077</v>
      </c>
      <c r="C193" s="3" t="s">
        <v>662</v>
      </c>
      <c r="D193" s="3">
        <v>8.1666666666666661</v>
      </c>
      <c r="E193" s="3">
        <v>10.884823546407244</v>
      </c>
      <c r="F193" s="3">
        <v>960</v>
      </c>
      <c r="G193" s="4">
        <v>5.28</v>
      </c>
      <c r="H193" s="7"/>
      <c r="I193" s="7"/>
      <c r="J193" s="38">
        <f t="shared" si="45"/>
        <v>8.9431685197282302</v>
      </c>
      <c r="K193" s="37">
        <f t="shared" si="46"/>
        <v>10.035751624698626</v>
      </c>
      <c r="L193" s="37">
        <f t="shared" si="47"/>
        <v>5.4550462717817636</v>
      </c>
      <c r="M193" s="39">
        <f t="shared" si="48"/>
        <v>18.795279829592658</v>
      </c>
      <c r="N193" s="117"/>
      <c r="O193" s="38">
        <f t="shared" si="29"/>
        <v>1.095081859558559</v>
      </c>
      <c r="P193" s="37">
        <f t="shared" si="30"/>
        <v>1.2288675458814646</v>
      </c>
      <c r="Q193" s="37">
        <f t="shared" si="31"/>
        <v>0.66796484960593028</v>
      </c>
      <c r="R193" s="39">
        <f t="shared" si="32"/>
        <v>2.3014628362766523</v>
      </c>
    </row>
    <row r="194" spans="2:18" customFormat="1" x14ac:dyDescent="0.25">
      <c r="B194" s="19" t="s">
        <v>1077</v>
      </c>
      <c r="C194" s="3" t="s">
        <v>663</v>
      </c>
      <c r="D194" s="3">
        <v>8.1666666666666661</v>
      </c>
      <c r="E194" s="3">
        <v>6.7703602458653043</v>
      </c>
      <c r="F194" s="3">
        <v>880</v>
      </c>
      <c r="G194" s="4">
        <v>6.48</v>
      </c>
      <c r="H194" s="7"/>
      <c r="I194" s="7"/>
      <c r="J194" s="38">
        <f t="shared" si="45"/>
        <v>6.2686682702716396</v>
      </c>
      <c r="K194" s="37">
        <f t="shared" si="46"/>
        <v>6.2422375105625436</v>
      </c>
      <c r="L194" s="37">
        <f t="shared" si="47"/>
        <v>2.3869569577702912</v>
      </c>
      <c r="M194" s="39">
        <f t="shared" si="48"/>
        <v>5.7194568896306262</v>
      </c>
      <c r="N194" s="117"/>
      <c r="O194" s="38">
        <f t="shared" si="29"/>
        <v>0.76759203309448654</v>
      </c>
      <c r="P194" s="37">
        <f t="shared" si="30"/>
        <v>0.76435561353827075</v>
      </c>
      <c r="Q194" s="37">
        <f t="shared" si="31"/>
        <v>0.29228044380860713</v>
      </c>
      <c r="R194" s="39">
        <f t="shared" si="32"/>
        <v>0.7003416599547706</v>
      </c>
    </row>
    <row r="195" spans="2:18" customFormat="1" x14ac:dyDescent="0.25">
      <c r="B195" s="19" t="s">
        <v>1077</v>
      </c>
      <c r="C195" s="3" t="s">
        <v>664</v>
      </c>
      <c r="D195" s="3">
        <v>3.1666666666666665</v>
      </c>
      <c r="E195" s="3">
        <v>11.340890470022574</v>
      </c>
      <c r="F195" s="3">
        <v>900</v>
      </c>
      <c r="G195" s="4">
        <v>4.28</v>
      </c>
      <c r="H195" s="7"/>
      <c r="I195" s="7"/>
      <c r="J195" s="38">
        <f t="shared" si="45"/>
        <v>5.8166237618820471</v>
      </c>
      <c r="K195" s="37">
        <f t="shared" si="46"/>
        <v>5.1951977177569466</v>
      </c>
      <c r="L195" s="37">
        <f t="shared" si="47"/>
        <v>2.2416065666252334</v>
      </c>
      <c r="M195" s="39">
        <f t="shared" si="48"/>
        <v>4.1428311043635677</v>
      </c>
      <c r="N195" s="117"/>
      <c r="O195" s="38">
        <f t="shared" si="29"/>
        <v>1.8368285563838045</v>
      </c>
      <c r="P195" s="37">
        <f t="shared" si="30"/>
        <v>1.640588752975878</v>
      </c>
      <c r="Q195" s="37">
        <f t="shared" si="31"/>
        <v>0.70787575788165269</v>
      </c>
      <c r="R195" s="39">
        <f t="shared" si="32"/>
        <v>1.3082624540095478</v>
      </c>
    </row>
    <row r="196" spans="2:18" customFormat="1" x14ac:dyDescent="0.25">
      <c r="B196" s="19" t="s">
        <v>1077</v>
      </c>
      <c r="C196" s="3" t="s">
        <v>665</v>
      </c>
      <c r="D196" s="3">
        <v>3.1666666666666665</v>
      </c>
      <c r="E196" s="3">
        <v>14.865151253535565</v>
      </c>
      <c r="F196" s="3">
        <v>960</v>
      </c>
      <c r="G196" s="4">
        <v>10.87</v>
      </c>
      <c r="H196" s="7"/>
      <c r="I196" s="7"/>
      <c r="J196" s="38">
        <f t="shared" si="45"/>
        <v>7.8957174804085977</v>
      </c>
      <c r="K196" s="37">
        <f t="shared" si="46"/>
        <v>6.8096416300479499</v>
      </c>
      <c r="L196" s="37">
        <f t="shared" si="47"/>
        <v>4.5111131781412332</v>
      </c>
      <c r="M196" s="39">
        <f t="shared" si="48"/>
        <v>11.39086192334363</v>
      </c>
      <c r="N196" s="117"/>
      <c r="O196" s="38">
        <f t="shared" si="29"/>
        <v>2.4933844674974521</v>
      </c>
      <c r="P196" s="37">
        <f t="shared" si="30"/>
        <v>2.1504131463309317</v>
      </c>
      <c r="Q196" s="37">
        <f t="shared" si="31"/>
        <v>1.4245620562551264</v>
      </c>
      <c r="R196" s="39">
        <f t="shared" si="32"/>
        <v>3.5971142915821992</v>
      </c>
    </row>
    <row r="197" spans="2:18" customFormat="1" x14ac:dyDescent="0.25">
      <c r="B197" s="19" t="s">
        <v>1077</v>
      </c>
      <c r="C197" s="3" t="s">
        <v>666</v>
      </c>
      <c r="D197" s="3">
        <v>3.1666666666666665</v>
      </c>
      <c r="E197" s="3">
        <v>10.075771214402527</v>
      </c>
      <c r="F197" s="3">
        <v>840</v>
      </c>
      <c r="G197" s="4">
        <v>4.67</v>
      </c>
      <c r="H197" s="7"/>
      <c r="I197" s="7"/>
      <c r="J197" s="38">
        <f t="shared" ref="J197:J228" si="49">EXP(1.663888 -2.480653/D197+ 0.089199*E197 -0.000146*F197)</f>
        <v>5.2416304855161178</v>
      </c>
      <c r="K197" s="37">
        <f t="shared" ref="K197:K228" si="50">EXP(LN(E197) -3.617786 * (1/D197- 0.1))</f>
        <v>4.6156537492422283</v>
      </c>
      <c r="L197" s="37">
        <f t="shared" ref="L197:L228" si="51">EXP(-0.668643 -4.714003/D197+ 0.181244*E197+ 0.00101*F197)</f>
        <v>1.6774881934672254</v>
      </c>
      <c r="M197" s="39">
        <f t="shared" ref="M197:M228" si="52">EXP(0.117821 -8.184507/D197+ 0.271737*E197+ 0.000896*F197)</f>
        <v>2.7838634262154298</v>
      </c>
      <c r="N197" s="117"/>
      <c r="O197" s="38">
        <f t="shared" si="29"/>
        <v>1.6552517322682478</v>
      </c>
      <c r="P197" s="37">
        <f t="shared" si="30"/>
        <v>1.4575748681817564</v>
      </c>
      <c r="Q197" s="37">
        <f t="shared" si="31"/>
        <v>0.52973311372649223</v>
      </c>
      <c r="R197" s="39">
        <f t="shared" si="32"/>
        <v>0.87911476617329365</v>
      </c>
    </row>
    <row r="198" spans="2:18" customFormat="1" x14ac:dyDescent="0.25">
      <c r="B198" s="19" t="s">
        <v>1077</v>
      </c>
      <c r="C198" s="3" t="s">
        <v>667</v>
      </c>
      <c r="D198" s="3">
        <v>3.1666666666666665</v>
      </c>
      <c r="E198" s="3">
        <v>10.075771214402527</v>
      </c>
      <c r="F198" s="3">
        <v>940</v>
      </c>
      <c r="G198" s="4">
        <v>4.07</v>
      </c>
      <c r="H198" s="7"/>
      <c r="I198" s="7"/>
      <c r="J198" s="38">
        <f t="shared" si="49"/>
        <v>5.165658624521539</v>
      </c>
      <c r="K198" s="37">
        <f t="shared" si="50"/>
        <v>4.6156537492422283</v>
      </c>
      <c r="L198" s="37">
        <f t="shared" si="51"/>
        <v>1.8557660052667142</v>
      </c>
      <c r="M198" s="39">
        <f t="shared" si="52"/>
        <v>3.0448136012543294</v>
      </c>
      <c r="N198" s="117"/>
      <c r="O198" s="38">
        <f t="shared" ref="O198:O261" si="53">J198/D198</f>
        <v>1.6312606182699598</v>
      </c>
      <c r="P198" s="37">
        <f t="shared" ref="P198:P261" si="54">K198/D198</f>
        <v>1.4575748681817564</v>
      </c>
      <c r="Q198" s="37">
        <f t="shared" ref="Q198:Q261" si="55">L198/D198</f>
        <v>0.58603137008422557</v>
      </c>
      <c r="R198" s="39">
        <f t="shared" ref="R198:R261" si="56">M198/D198</f>
        <v>0.96152008460663041</v>
      </c>
    </row>
    <row r="199" spans="2:18" customFormat="1" x14ac:dyDescent="0.25">
      <c r="B199" s="19" t="s">
        <v>1077</v>
      </c>
      <c r="C199" s="3" t="s">
        <v>668</v>
      </c>
      <c r="D199" s="3">
        <v>4.166666666666667</v>
      </c>
      <c r="E199" s="3">
        <v>9.2984841568440384</v>
      </c>
      <c r="F199" s="3">
        <v>980</v>
      </c>
      <c r="G199" s="4">
        <v>5.68</v>
      </c>
      <c r="H199" s="7"/>
      <c r="I199" s="7"/>
      <c r="J199" s="38">
        <f t="shared" si="49"/>
        <v>5.7826772547466661</v>
      </c>
      <c r="K199" s="37">
        <f t="shared" si="50"/>
        <v>5.6033316200253944</v>
      </c>
      <c r="L199" s="37">
        <f t="shared" si="51"/>
        <v>2.3990929838404478</v>
      </c>
      <c r="M199" s="39">
        <f t="shared" si="52"/>
        <v>4.7510303453208689</v>
      </c>
      <c r="N199" s="117"/>
      <c r="O199" s="38">
        <f t="shared" si="53"/>
        <v>1.3878425411391997</v>
      </c>
      <c r="P199" s="37">
        <f t="shared" si="54"/>
        <v>1.3447995888060946</v>
      </c>
      <c r="Q199" s="37">
        <f t="shared" si="55"/>
        <v>0.57578231612170738</v>
      </c>
      <c r="R199" s="39">
        <f t="shared" si="56"/>
        <v>1.1402472828770085</v>
      </c>
    </row>
    <row r="200" spans="2:18" customFormat="1" x14ac:dyDescent="0.25">
      <c r="B200" s="19" t="s">
        <v>1077</v>
      </c>
      <c r="C200" s="3" t="s">
        <v>669</v>
      </c>
      <c r="D200" s="3">
        <v>4.166666666666667</v>
      </c>
      <c r="E200" s="3">
        <v>7.1265754486760864</v>
      </c>
      <c r="F200" s="3">
        <v>640</v>
      </c>
      <c r="G200" s="4">
        <v>4.0999999999999996</v>
      </c>
      <c r="H200" s="7"/>
      <c r="I200" s="7"/>
      <c r="J200" s="38">
        <f t="shared" si="49"/>
        <v>5.0066883244449301</v>
      </c>
      <c r="K200" s="37">
        <f t="shared" si="50"/>
        <v>4.2945242343260324</v>
      </c>
      <c r="L200" s="37">
        <f t="shared" si="51"/>
        <v>1.1480275784166531</v>
      </c>
      <c r="M200" s="39">
        <f t="shared" si="52"/>
        <v>1.9416411182162907</v>
      </c>
      <c r="N200" s="117"/>
      <c r="O200" s="38">
        <f t="shared" si="53"/>
        <v>1.2016051978667832</v>
      </c>
      <c r="P200" s="37">
        <f t="shared" si="54"/>
        <v>1.0306858162382477</v>
      </c>
      <c r="Q200" s="37">
        <f t="shared" si="55"/>
        <v>0.27552661881999674</v>
      </c>
      <c r="R200" s="39">
        <f t="shared" si="56"/>
        <v>0.46599386837190976</v>
      </c>
    </row>
    <row r="201" spans="2:18" customFormat="1" x14ac:dyDescent="0.25">
      <c r="B201" s="19" t="s">
        <v>1077</v>
      </c>
      <c r="C201" s="3" t="s">
        <v>670</v>
      </c>
      <c r="D201" s="3">
        <v>7.583333333333333</v>
      </c>
      <c r="E201" s="3">
        <v>11.256450605244991</v>
      </c>
      <c r="F201" s="3">
        <v>1100</v>
      </c>
      <c r="G201" s="4">
        <v>11.88</v>
      </c>
      <c r="H201" s="7"/>
      <c r="I201" s="7"/>
      <c r="J201" s="38">
        <f t="shared" si="49"/>
        <v>8.8483682245628632</v>
      </c>
      <c r="K201" s="37">
        <f t="shared" si="50"/>
        <v>10.03068876536488</v>
      </c>
      <c r="L201" s="37">
        <f t="shared" si="51"/>
        <v>6.4294845019525892</v>
      </c>
      <c r="M201" s="39">
        <f t="shared" si="52"/>
        <v>21.822454655913262</v>
      </c>
      <c r="N201" s="117"/>
      <c r="O201" s="38">
        <f t="shared" si="53"/>
        <v>1.1668177878544435</v>
      </c>
      <c r="P201" s="37">
        <f t="shared" si="54"/>
        <v>1.322728188839325</v>
      </c>
      <c r="Q201" s="37">
        <f t="shared" si="55"/>
        <v>0.8478441101475942</v>
      </c>
      <c r="R201" s="39">
        <f t="shared" si="56"/>
        <v>2.8776863282522984</v>
      </c>
    </row>
    <row r="202" spans="2:18" customFormat="1" x14ac:dyDescent="0.25">
      <c r="B202" s="19" t="s">
        <v>1077</v>
      </c>
      <c r="C202" s="3" t="s">
        <v>671</v>
      </c>
      <c r="D202" s="3">
        <v>12.666666666666666</v>
      </c>
      <c r="E202" s="3">
        <v>12.523583689654393</v>
      </c>
      <c r="F202" s="3">
        <v>960</v>
      </c>
      <c r="G202" s="4">
        <v>12.26</v>
      </c>
      <c r="H202" s="7"/>
      <c r="I202" s="7"/>
      <c r="J202" s="38">
        <f t="shared" si="49"/>
        <v>11.530297258032222</v>
      </c>
      <c r="K202" s="37">
        <f t="shared" si="50"/>
        <v>13.514693185517602</v>
      </c>
      <c r="L202" s="37">
        <f t="shared" si="51"/>
        <v>9.0125970476425792</v>
      </c>
      <c r="M202" s="39">
        <f t="shared" si="52"/>
        <v>41.886214849996776</v>
      </c>
      <c r="N202" s="117"/>
      <c r="O202" s="38">
        <f t="shared" si="53"/>
        <v>0.91028662563412288</v>
      </c>
      <c r="P202" s="37">
        <f t="shared" si="54"/>
        <v>1.0669494620145477</v>
      </c>
      <c r="Q202" s="37">
        <f t="shared" si="55"/>
        <v>0.71152081955072999</v>
      </c>
      <c r="R202" s="39">
        <f t="shared" si="56"/>
        <v>3.3068064355260613</v>
      </c>
    </row>
    <row r="203" spans="2:18" customFormat="1" x14ac:dyDescent="0.25">
      <c r="B203" s="19" t="s">
        <v>1077</v>
      </c>
      <c r="C203" s="3" t="s">
        <v>672</v>
      </c>
      <c r="D203" s="3">
        <v>8.0833333333333339</v>
      </c>
      <c r="E203" s="3">
        <v>13.780421279255734</v>
      </c>
      <c r="F203" s="3">
        <v>1120</v>
      </c>
      <c r="G203" s="4">
        <v>10.68</v>
      </c>
      <c r="H203" s="7"/>
      <c r="I203" s="7"/>
      <c r="J203" s="38">
        <f t="shared" si="49"/>
        <v>11.27607123319739</v>
      </c>
      <c r="K203" s="37">
        <f t="shared" si="50"/>
        <v>12.647584929314043</v>
      </c>
      <c r="L203" s="37">
        <f t="shared" si="51"/>
        <v>10.772537218659577</v>
      </c>
      <c r="M203" s="39">
        <f t="shared" si="52"/>
        <v>47.15664853311511</v>
      </c>
      <c r="N203" s="117"/>
      <c r="O203" s="38">
        <f t="shared" si="53"/>
        <v>1.3949778845192646</v>
      </c>
      <c r="P203" s="37">
        <f t="shared" si="54"/>
        <v>1.5646496819769948</v>
      </c>
      <c r="Q203" s="37">
        <f t="shared" si="55"/>
        <v>1.3326850167413908</v>
      </c>
      <c r="R203" s="39">
        <f t="shared" si="56"/>
        <v>5.8338121896637247</v>
      </c>
    </row>
    <row r="204" spans="2:18" customFormat="1" x14ac:dyDescent="0.25">
      <c r="B204" s="19" t="s">
        <v>1077</v>
      </c>
      <c r="C204" s="3" t="s">
        <v>673</v>
      </c>
      <c r="D204" s="3">
        <v>8.3333333333333339</v>
      </c>
      <c r="E204" s="3">
        <v>14.774918059808048</v>
      </c>
      <c r="F204" s="3">
        <v>500</v>
      </c>
      <c r="G204" s="4">
        <v>14.99</v>
      </c>
      <c r="H204" s="7"/>
      <c r="I204" s="7"/>
      <c r="J204" s="38">
        <f t="shared" si="49"/>
        <v>13.614257048238924</v>
      </c>
      <c r="K204" s="37">
        <f t="shared" si="50"/>
        <v>13.743627984743707</v>
      </c>
      <c r="L204" s="37">
        <f t="shared" si="51"/>
        <v>7.0184464409051337</v>
      </c>
      <c r="M204" s="39">
        <f t="shared" si="52"/>
        <v>36.546011977429281</v>
      </c>
      <c r="N204" s="117"/>
      <c r="O204" s="38">
        <f t="shared" si="53"/>
        <v>1.6337108457886709</v>
      </c>
      <c r="P204" s="37">
        <f t="shared" si="54"/>
        <v>1.6492353581692447</v>
      </c>
      <c r="Q204" s="37">
        <f t="shared" si="55"/>
        <v>0.84221357290861598</v>
      </c>
      <c r="R204" s="39">
        <f t="shared" si="56"/>
        <v>4.385521437291513</v>
      </c>
    </row>
    <row r="205" spans="2:18" customFormat="1" x14ac:dyDescent="0.25">
      <c r="B205" s="19" t="s">
        <v>1077</v>
      </c>
      <c r="C205" s="3" t="s">
        <v>674</v>
      </c>
      <c r="D205" s="3">
        <v>8.3333333333333339</v>
      </c>
      <c r="E205" s="3">
        <v>11.431688425836885</v>
      </c>
      <c r="F205" s="3">
        <v>560</v>
      </c>
      <c r="G205" s="4">
        <v>13.49</v>
      </c>
      <c r="H205" s="7"/>
      <c r="I205" s="7"/>
      <c r="J205" s="38">
        <f t="shared" si="49"/>
        <v>10.0156093990259</v>
      </c>
      <c r="K205" s="37">
        <f t="shared" si="50"/>
        <v>10.633755958998782</v>
      </c>
      <c r="L205" s="37">
        <f t="shared" si="51"/>
        <v>4.0682038072923739</v>
      </c>
      <c r="M205" s="39">
        <f t="shared" si="52"/>
        <v>15.546769654307749</v>
      </c>
      <c r="N205" s="117"/>
      <c r="O205" s="38">
        <f t="shared" si="53"/>
        <v>1.2018731278831079</v>
      </c>
      <c r="P205" s="37">
        <f t="shared" si="54"/>
        <v>1.2760507150798537</v>
      </c>
      <c r="Q205" s="37">
        <f t="shared" si="55"/>
        <v>0.48818445687508483</v>
      </c>
      <c r="R205" s="39">
        <f t="shared" si="56"/>
        <v>1.8656123585169297</v>
      </c>
    </row>
    <row r="206" spans="2:18" customFormat="1" x14ac:dyDescent="0.25">
      <c r="B206" s="19" t="s">
        <v>1077</v>
      </c>
      <c r="C206" s="3" t="s">
        <v>675</v>
      </c>
      <c r="D206" s="3">
        <v>8.3333333333333339</v>
      </c>
      <c r="E206" s="3">
        <v>10.353227253588123</v>
      </c>
      <c r="F206" s="3">
        <v>1040</v>
      </c>
      <c r="G206" s="4">
        <v>9.41</v>
      </c>
      <c r="H206" s="7"/>
      <c r="I206" s="7"/>
      <c r="J206" s="38">
        <f t="shared" si="49"/>
        <v>8.4813289878754716</v>
      </c>
      <c r="K206" s="37">
        <f t="shared" si="50"/>
        <v>9.6305714345649349</v>
      </c>
      <c r="L206" s="37">
        <f t="shared" si="51"/>
        <v>5.4332471678955478</v>
      </c>
      <c r="M206" s="39">
        <f t="shared" si="52"/>
        <v>17.829868813284062</v>
      </c>
      <c r="N206" s="117"/>
      <c r="O206" s="38">
        <f t="shared" si="53"/>
        <v>1.0177594785450566</v>
      </c>
      <c r="P206" s="37">
        <f t="shared" si="54"/>
        <v>1.1556685721477922</v>
      </c>
      <c r="Q206" s="37">
        <f t="shared" si="55"/>
        <v>0.65198966014746573</v>
      </c>
      <c r="R206" s="39">
        <f t="shared" si="56"/>
        <v>2.1395842575940871</v>
      </c>
    </row>
    <row r="207" spans="2:18" customFormat="1" x14ac:dyDescent="0.25">
      <c r="B207" s="19" t="s">
        <v>1077</v>
      </c>
      <c r="C207" s="3" t="s">
        <v>676</v>
      </c>
      <c r="D207" s="3">
        <v>8.3333333333333339</v>
      </c>
      <c r="E207" s="3">
        <v>8.3688586966503973</v>
      </c>
      <c r="F207" s="3">
        <v>500</v>
      </c>
      <c r="G207" s="4">
        <v>10.25</v>
      </c>
      <c r="H207" s="7"/>
      <c r="I207" s="7"/>
      <c r="J207" s="38">
        <f t="shared" si="49"/>
        <v>7.6883290166494085</v>
      </c>
      <c r="K207" s="37">
        <f t="shared" si="50"/>
        <v>7.7847119096066537</v>
      </c>
      <c r="L207" s="37">
        <f t="shared" si="51"/>
        <v>2.1978553975329129</v>
      </c>
      <c r="M207" s="39">
        <f t="shared" si="52"/>
        <v>6.4096759488408175</v>
      </c>
      <c r="N207" s="117"/>
      <c r="O207" s="38">
        <f t="shared" si="53"/>
        <v>0.92259948199792896</v>
      </c>
      <c r="P207" s="37">
        <f t="shared" si="54"/>
        <v>0.93416542915279843</v>
      </c>
      <c r="Q207" s="37">
        <f t="shared" si="55"/>
        <v>0.26374264770394951</v>
      </c>
      <c r="R207" s="39">
        <f t="shared" si="56"/>
        <v>0.76916111386089803</v>
      </c>
    </row>
    <row r="208" spans="2:18" customFormat="1" x14ac:dyDescent="0.25">
      <c r="B208" s="19" t="s">
        <v>1077</v>
      </c>
      <c r="C208" s="3" t="s">
        <v>677</v>
      </c>
      <c r="D208" s="3">
        <v>6.25</v>
      </c>
      <c r="E208" s="3">
        <v>10.034680020634298</v>
      </c>
      <c r="F208" s="3">
        <v>300</v>
      </c>
      <c r="G208" s="4">
        <v>11.43</v>
      </c>
      <c r="H208" s="7"/>
      <c r="I208" s="7"/>
      <c r="J208" s="38">
        <f t="shared" si="49"/>
        <v>8.3167116568873443</v>
      </c>
      <c r="K208" s="37">
        <f t="shared" si="50"/>
        <v>8.0766722334722925</v>
      </c>
      <c r="L208" s="37">
        <f t="shared" si="51"/>
        <v>2.011422263568813</v>
      </c>
      <c r="M208" s="39">
        <f t="shared" si="52"/>
        <v>6.0732490457895354</v>
      </c>
      <c r="N208" s="117"/>
      <c r="O208" s="38">
        <f t="shared" si="53"/>
        <v>1.3306738651019752</v>
      </c>
      <c r="P208" s="37">
        <f t="shared" si="54"/>
        <v>1.2922675573555669</v>
      </c>
      <c r="Q208" s="37">
        <f t="shared" si="55"/>
        <v>0.32182756217101011</v>
      </c>
      <c r="R208" s="39">
        <f t="shared" si="56"/>
        <v>0.97171984732632566</v>
      </c>
    </row>
    <row r="209" spans="2:18" customFormat="1" x14ac:dyDescent="0.25">
      <c r="B209" s="19" t="s">
        <v>1077</v>
      </c>
      <c r="C209" s="3" t="s">
        <v>678</v>
      </c>
      <c r="D209" s="3">
        <v>6.333333333333333</v>
      </c>
      <c r="E209" s="3">
        <v>11.62270757183841</v>
      </c>
      <c r="F209" s="3">
        <v>280</v>
      </c>
      <c r="G209" s="4">
        <v>10.88</v>
      </c>
      <c r="H209" s="7"/>
      <c r="I209" s="7"/>
      <c r="J209" s="38">
        <f t="shared" si="49"/>
        <v>9.6606394343794264</v>
      </c>
      <c r="K209" s="37">
        <f t="shared" si="50"/>
        <v>9.4263594860593489</v>
      </c>
      <c r="L209" s="37">
        <f t="shared" si="51"/>
        <v>2.6548462621587419</v>
      </c>
      <c r="M209" s="39">
        <f t="shared" si="52"/>
        <v>9.3439596565767253</v>
      </c>
      <c r="N209" s="117"/>
      <c r="O209" s="38">
        <f t="shared" si="53"/>
        <v>1.5253641212178042</v>
      </c>
      <c r="P209" s="37">
        <f t="shared" si="54"/>
        <v>1.4883725504304235</v>
      </c>
      <c r="Q209" s="37">
        <f t="shared" si="55"/>
        <v>0.41918625191980136</v>
      </c>
      <c r="R209" s="39">
        <f t="shared" si="56"/>
        <v>1.4753620510384304</v>
      </c>
    </row>
    <row r="210" spans="2:18" customFormat="1" x14ac:dyDescent="0.25">
      <c r="B210" s="19" t="s">
        <v>1077</v>
      </c>
      <c r="C210" s="3" t="s">
        <v>679</v>
      </c>
      <c r="D210" s="3">
        <v>6.333333333333333</v>
      </c>
      <c r="E210" s="3">
        <v>13.688413628503485</v>
      </c>
      <c r="F210" s="3">
        <v>400</v>
      </c>
      <c r="G210" s="4">
        <v>11.06</v>
      </c>
      <c r="H210" s="7"/>
      <c r="I210" s="7"/>
      <c r="J210" s="38">
        <f t="shared" si="49"/>
        <v>11.413521563714308</v>
      </c>
      <c r="K210" s="37">
        <f t="shared" si="50"/>
        <v>11.101708174159837</v>
      </c>
      <c r="L210" s="37">
        <f t="shared" si="51"/>
        <v>4.3578707436550195</v>
      </c>
      <c r="M210" s="39">
        <f t="shared" si="52"/>
        <v>18.239304897334847</v>
      </c>
      <c r="N210" s="117"/>
      <c r="O210" s="38">
        <f t="shared" si="53"/>
        <v>1.8021349837443645</v>
      </c>
      <c r="P210" s="37">
        <f t="shared" si="54"/>
        <v>1.7529012906568164</v>
      </c>
      <c r="Q210" s="37">
        <f t="shared" si="55"/>
        <v>0.68808485426131893</v>
      </c>
      <c r="R210" s="39">
        <f t="shared" si="56"/>
        <v>2.8798902469476078</v>
      </c>
    </row>
    <row r="211" spans="2:18" customFormat="1" x14ac:dyDescent="0.25">
      <c r="B211" s="19" t="s">
        <v>1077</v>
      </c>
      <c r="C211" s="3" t="s">
        <v>680</v>
      </c>
      <c r="D211" s="3">
        <v>5.333333333333333</v>
      </c>
      <c r="E211" s="3">
        <v>10.158804629695553</v>
      </c>
      <c r="F211" s="3">
        <v>800</v>
      </c>
      <c r="G211" s="4">
        <v>8.94</v>
      </c>
      <c r="H211" s="7"/>
      <c r="I211" s="7"/>
      <c r="J211" s="38">
        <f t="shared" si="49"/>
        <v>7.301799149793835</v>
      </c>
      <c r="K211" s="37">
        <f t="shared" si="50"/>
        <v>7.402253683522324</v>
      </c>
      <c r="L211" s="37">
        <f t="shared" si="51"/>
        <v>2.9942800652926125</v>
      </c>
      <c r="M211" s="39">
        <f t="shared" si="52"/>
        <v>7.8502786749636817</v>
      </c>
      <c r="N211" s="117"/>
      <c r="O211" s="38">
        <f t="shared" si="53"/>
        <v>1.3690873405863442</v>
      </c>
      <c r="P211" s="37">
        <f t="shared" si="54"/>
        <v>1.3879225656604359</v>
      </c>
      <c r="Q211" s="37">
        <f t="shared" si="55"/>
        <v>0.56142751224236487</v>
      </c>
      <c r="R211" s="39">
        <f t="shared" si="56"/>
        <v>1.4719272515556905</v>
      </c>
    </row>
    <row r="212" spans="2:18" customFormat="1" x14ac:dyDescent="0.25">
      <c r="B212" s="19" t="s">
        <v>1077</v>
      </c>
      <c r="C212" s="3" t="s">
        <v>681</v>
      </c>
      <c r="D212" s="3">
        <v>6.25</v>
      </c>
      <c r="E212" s="3">
        <v>5.6445075116067942</v>
      </c>
      <c r="F212" s="3">
        <v>580</v>
      </c>
      <c r="G212" s="4">
        <v>4.6399999999999997</v>
      </c>
      <c r="H212" s="7"/>
      <c r="I212" s="7"/>
      <c r="J212" s="38">
        <f t="shared" si="49"/>
        <v>5.3967015643589313</v>
      </c>
      <c r="K212" s="37">
        <f t="shared" si="50"/>
        <v>4.5431281313281655</v>
      </c>
      <c r="L212" s="37">
        <f t="shared" si="51"/>
        <v>1.2043616065177809</v>
      </c>
      <c r="M212" s="39">
        <f t="shared" si="52"/>
        <v>2.3674215698201877</v>
      </c>
      <c r="N212" s="117"/>
      <c r="O212" s="38">
        <f t="shared" si="53"/>
        <v>0.86347225029742902</v>
      </c>
      <c r="P212" s="37">
        <f t="shared" si="54"/>
        <v>0.72690050101250647</v>
      </c>
      <c r="Q212" s="37">
        <f t="shared" si="55"/>
        <v>0.19269785704284495</v>
      </c>
      <c r="R212" s="39">
        <f t="shared" si="56"/>
        <v>0.37878745117123003</v>
      </c>
    </row>
    <row r="213" spans="2:18" customFormat="1" x14ac:dyDescent="0.25">
      <c r="B213" s="19" t="s">
        <v>1077</v>
      </c>
      <c r="C213" s="3" t="s">
        <v>682</v>
      </c>
      <c r="D213" s="3">
        <v>6.25</v>
      </c>
      <c r="E213" s="3">
        <v>10.034680020634298</v>
      </c>
      <c r="F213" s="3">
        <v>600</v>
      </c>
      <c r="G213" s="4">
        <v>9.6</v>
      </c>
      <c r="H213" s="7"/>
      <c r="I213" s="7"/>
      <c r="J213" s="38">
        <f t="shared" si="49"/>
        <v>7.9603020344320212</v>
      </c>
      <c r="K213" s="37">
        <f t="shared" si="50"/>
        <v>8.0766722334722925</v>
      </c>
      <c r="L213" s="37">
        <f t="shared" si="51"/>
        <v>2.7232936967470653</v>
      </c>
      <c r="M213" s="39">
        <f t="shared" si="52"/>
        <v>7.9461991878558731</v>
      </c>
      <c r="N213" s="117"/>
      <c r="O213" s="38">
        <f t="shared" si="53"/>
        <v>1.2736483255091233</v>
      </c>
      <c r="P213" s="37">
        <f t="shared" si="54"/>
        <v>1.2922675573555669</v>
      </c>
      <c r="Q213" s="37">
        <f t="shared" si="55"/>
        <v>0.43572699147953048</v>
      </c>
      <c r="R213" s="39">
        <f t="shared" si="56"/>
        <v>1.2713918700569398</v>
      </c>
    </row>
    <row r="214" spans="2:18" customFormat="1" x14ac:dyDescent="0.25">
      <c r="B214" s="19" t="s">
        <v>1077</v>
      </c>
      <c r="C214" s="3" t="s">
        <v>683</v>
      </c>
      <c r="D214" s="3">
        <v>6.25</v>
      </c>
      <c r="E214" s="3">
        <v>6.4723686133091229</v>
      </c>
      <c r="F214" s="3">
        <v>400</v>
      </c>
      <c r="G214" s="4">
        <v>7.54</v>
      </c>
      <c r="H214" s="7"/>
      <c r="I214" s="7"/>
      <c r="J214" s="38">
        <f t="shared" si="49"/>
        <v>5.9650195198304194</v>
      </c>
      <c r="K214" s="37">
        <f t="shared" si="50"/>
        <v>5.2094535905896295</v>
      </c>
      <c r="L214" s="37">
        <f t="shared" si="51"/>
        <v>1.1667177877638788</v>
      </c>
      <c r="M214" s="39">
        <f t="shared" si="52"/>
        <v>2.5230838664584776</v>
      </c>
      <c r="N214" s="117"/>
      <c r="O214" s="38">
        <f t="shared" si="53"/>
        <v>0.95440312317286713</v>
      </c>
      <c r="P214" s="37">
        <f t="shared" si="54"/>
        <v>0.83351257449434069</v>
      </c>
      <c r="Q214" s="37">
        <f t="shared" si="55"/>
        <v>0.18667484604222062</v>
      </c>
      <c r="R214" s="39">
        <f t="shared" si="56"/>
        <v>0.40369341863335639</v>
      </c>
    </row>
    <row r="215" spans="2:18" customFormat="1" x14ac:dyDescent="0.25">
      <c r="B215" s="19" t="s">
        <v>1077</v>
      </c>
      <c r="C215" s="3" t="s">
        <v>684</v>
      </c>
      <c r="D215" s="3">
        <v>10.833333333333334</v>
      </c>
      <c r="E215" s="3">
        <v>13.365995580518439</v>
      </c>
      <c r="F215" s="3">
        <v>160</v>
      </c>
      <c r="G215" s="4">
        <v>17.98</v>
      </c>
      <c r="H215" s="7"/>
      <c r="I215" s="7"/>
      <c r="J215" s="38">
        <f t="shared" si="49"/>
        <v>13.514701405755076</v>
      </c>
      <c r="K215" s="37">
        <f t="shared" si="50"/>
        <v>13.74318357942316</v>
      </c>
      <c r="L215" s="37">
        <f t="shared" si="51"/>
        <v>4.3943725855669369</v>
      </c>
      <c r="M215" s="39">
        <f t="shared" si="52"/>
        <v>23.051332738230474</v>
      </c>
      <c r="N215" s="117"/>
      <c r="O215" s="38">
        <f t="shared" si="53"/>
        <v>1.2475108989927761</v>
      </c>
      <c r="P215" s="37">
        <f t="shared" si="54"/>
        <v>1.2686015611775223</v>
      </c>
      <c r="Q215" s="37">
        <f t="shared" si="55"/>
        <v>0.40563439251387107</v>
      </c>
      <c r="R215" s="39">
        <f t="shared" si="56"/>
        <v>2.1278153296828131</v>
      </c>
    </row>
    <row r="216" spans="2:18" customFormat="1" x14ac:dyDescent="0.25">
      <c r="B216" s="19" t="s">
        <v>1077</v>
      </c>
      <c r="C216" s="3" t="s">
        <v>685</v>
      </c>
      <c r="D216" s="3">
        <v>7.416666666666667</v>
      </c>
      <c r="E216" s="3">
        <v>14.439932475883515</v>
      </c>
      <c r="F216" s="3">
        <v>700</v>
      </c>
      <c r="G216" s="4">
        <v>11.61</v>
      </c>
      <c r="H216" s="7"/>
      <c r="I216" s="7"/>
      <c r="J216" s="38">
        <f t="shared" si="49"/>
        <v>12.369644777000557</v>
      </c>
      <c r="K216" s="37">
        <f t="shared" si="50"/>
        <v>12.730296280354713</v>
      </c>
      <c r="L216" s="37">
        <f t="shared" si="51"/>
        <v>7.5376631848226934</v>
      </c>
      <c r="M216" s="39">
        <f t="shared" si="52"/>
        <v>35.352032865456501</v>
      </c>
      <c r="N216" s="117"/>
      <c r="O216" s="38">
        <f t="shared" si="53"/>
        <v>1.6678172733034458</v>
      </c>
      <c r="P216" s="37">
        <f t="shared" si="54"/>
        <v>1.7164444422950174</v>
      </c>
      <c r="Q216" s="37">
        <f t="shared" si="55"/>
        <v>1.0163141372794642</v>
      </c>
      <c r="R216" s="39">
        <f t="shared" si="56"/>
        <v>4.7665662290503148</v>
      </c>
    </row>
    <row r="217" spans="2:18" customFormat="1" x14ac:dyDescent="0.25">
      <c r="B217" s="19" t="s">
        <v>1077</v>
      </c>
      <c r="C217" s="3" t="s">
        <v>686</v>
      </c>
      <c r="D217" s="3">
        <v>10.666666666666666</v>
      </c>
      <c r="E217" s="3">
        <v>15.607213249230126</v>
      </c>
      <c r="F217" s="3">
        <v>340</v>
      </c>
      <c r="G217" s="4">
        <v>16.850000000000001</v>
      </c>
      <c r="H217" s="7"/>
      <c r="I217" s="7"/>
      <c r="J217" s="38">
        <f t="shared" si="49"/>
        <v>16.019946400820064</v>
      </c>
      <c r="K217" s="37">
        <f t="shared" si="50"/>
        <v>15.96413043394598</v>
      </c>
      <c r="L217" s="37">
        <f t="shared" si="51"/>
        <v>7.858006724542931</v>
      </c>
      <c r="M217" s="39">
        <f t="shared" si="52"/>
        <v>49.216098509508868</v>
      </c>
      <c r="N217" s="117"/>
      <c r="O217" s="38">
        <f t="shared" si="53"/>
        <v>1.5018699750768811</v>
      </c>
      <c r="P217" s="37">
        <f t="shared" si="54"/>
        <v>1.4966372281824358</v>
      </c>
      <c r="Q217" s="37">
        <f t="shared" si="55"/>
        <v>0.73668813042589987</v>
      </c>
      <c r="R217" s="39">
        <f t="shared" si="56"/>
        <v>4.6140092352664563</v>
      </c>
    </row>
    <row r="218" spans="2:18" customFormat="1" x14ac:dyDescent="0.25">
      <c r="B218" s="19" t="s">
        <v>1077</v>
      </c>
      <c r="C218" s="3" t="s">
        <v>687</v>
      </c>
      <c r="D218" s="3">
        <v>8.8333333333333339</v>
      </c>
      <c r="E218" s="3">
        <v>17.449036304589296</v>
      </c>
      <c r="F218" s="3">
        <v>540</v>
      </c>
      <c r="G218" s="4">
        <v>15.4</v>
      </c>
      <c r="H218" s="7"/>
      <c r="I218" s="7"/>
      <c r="J218" s="38">
        <f t="shared" si="49"/>
        <v>17.472984544556926</v>
      </c>
      <c r="K218" s="37">
        <f t="shared" si="50"/>
        <v>16.634890746829988</v>
      </c>
      <c r="L218" s="37">
        <f t="shared" si="51"/>
        <v>12.251267720301643</v>
      </c>
      <c r="M218" s="39">
        <f t="shared" si="52"/>
        <v>82.819357146914143</v>
      </c>
      <c r="N218" s="117"/>
      <c r="O218" s="38">
        <f t="shared" si="53"/>
        <v>1.9780737220253122</v>
      </c>
      <c r="P218" s="37">
        <f t="shared" si="54"/>
        <v>1.8831951788864136</v>
      </c>
      <c r="Q218" s="37">
        <f t="shared" si="55"/>
        <v>1.3869359683360349</v>
      </c>
      <c r="R218" s="39">
        <f t="shared" si="56"/>
        <v>9.3757762807827323</v>
      </c>
    </row>
    <row r="219" spans="2:18" customFormat="1" x14ac:dyDescent="0.25">
      <c r="B219" s="19" t="s">
        <v>1077</v>
      </c>
      <c r="C219" s="3" t="s">
        <v>688</v>
      </c>
      <c r="D219" s="3">
        <v>8.8333333333333339</v>
      </c>
      <c r="E219" s="3">
        <v>15.556972126983222</v>
      </c>
      <c r="F219" s="3">
        <v>560</v>
      </c>
      <c r="G219" s="4">
        <v>14.16</v>
      </c>
      <c r="H219" s="7"/>
      <c r="I219" s="7"/>
      <c r="J219" s="38">
        <f t="shared" si="49"/>
        <v>14.716447049479621</v>
      </c>
      <c r="K219" s="37">
        <f t="shared" si="50"/>
        <v>14.831107412836371</v>
      </c>
      <c r="L219" s="37">
        <f t="shared" si="51"/>
        <v>8.8720345046391564</v>
      </c>
      <c r="M219" s="39">
        <f t="shared" si="52"/>
        <v>50.422523626815426</v>
      </c>
      <c r="N219" s="117"/>
      <c r="O219" s="38">
        <f t="shared" si="53"/>
        <v>1.6660128735259947</v>
      </c>
      <c r="P219" s="37">
        <f t="shared" si="54"/>
        <v>1.6789932920192117</v>
      </c>
      <c r="Q219" s="37">
        <f t="shared" si="55"/>
        <v>1.0043812646761308</v>
      </c>
      <c r="R219" s="39">
        <f t="shared" si="56"/>
        <v>5.7082102219036326</v>
      </c>
    </row>
    <row r="220" spans="2:18" customFormat="1" x14ac:dyDescent="0.25">
      <c r="B220" s="19" t="s">
        <v>1077</v>
      </c>
      <c r="C220" s="3" t="s">
        <v>689</v>
      </c>
      <c r="D220" s="3">
        <v>9.0833333333333339</v>
      </c>
      <c r="E220" s="3">
        <v>18.699295359793958</v>
      </c>
      <c r="F220" s="3">
        <v>320</v>
      </c>
      <c r="G220" s="4">
        <v>18.010000000000002</v>
      </c>
      <c r="H220" s="7"/>
      <c r="I220" s="7"/>
      <c r="J220" s="38">
        <f t="shared" si="49"/>
        <v>20.32856488101876</v>
      </c>
      <c r="K220" s="37">
        <f t="shared" si="50"/>
        <v>18.028900882664679</v>
      </c>
      <c r="L220" s="37">
        <f t="shared" si="51"/>
        <v>12.487389322234199</v>
      </c>
      <c r="M220" s="39">
        <f t="shared" si="52"/>
        <v>97.982097262012729</v>
      </c>
      <c r="N220" s="117"/>
      <c r="O220" s="38">
        <f t="shared" si="53"/>
        <v>2.2380071428644506</v>
      </c>
      <c r="P220" s="37">
        <f t="shared" si="54"/>
        <v>1.9848331246970288</v>
      </c>
      <c r="Q220" s="37">
        <f t="shared" si="55"/>
        <v>1.3747584574936731</v>
      </c>
      <c r="R220" s="39">
        <f t="shared" si="56"/>
        <v>10.787019882056446</v>
      </c>
    </row>
    <row r="221" spans="2:18" customFormat="1" x14ac:dyDescent="0.25">
      <c r="B221" s="19" t="s">
        <v>1077</v>
      </c>
      <c r="C221" s="3" t="s">
        <v>690</v>
      </c>
      <c r="D221" s="3">
        <v>7.166666666666667</v>
      </c>
      <c r="E221" s="3">
        <v>18.344387639017338</v>
      </c>
      <c r="F221" s="3">
        <v>480</v>
      </c>
      <c r="G221" s="4">
        <v>17.059999999999999</v>
      </c>
      <c r="H221" s="7"/>
      <c r="I221" s="7"/>
      <c r="J221" s="38">
        <f t="shared" si="49"/>
        <v>17.885161545109671</v>
      </c>
      <c r="K221" s="37">
        <f t="shared" si="50"/>
        <v>15.899615525485414</v>
      </c>
      <c r="L221" s="37">
        <f t="shared" si="51"/>
        <v>11.979529675554296</v>
      </c>
      <c r="M221" s="39">
        <f t="shared" si="52"/>
        <v>80.69895542835016</v>
      </c>
      <c r="N221" s="117"/>
      <c r="O221" s="38">
        <f t="shared" si="53"/>
        <v>2.4956039365269307</v>
      </c>
      <c r="P221" s="37">
        <f t="shared" si="54"/>
        <v>2.218551003556104</v>
      </c>
      <c r="Q221" s="37">
        <f t="shared" si="55"/>
        <v>1.6715622803099017</v>
      </c>
      <c r="R221" s="39">
        <f t="shared" si="56"/>
        <v>11.260319362095371</v>
      </c>
    </row>
    <row r="222" spans="2:18" customFormat="1" x14ac:dyDescent="0.25">
      <c r="B222" s="19" t="s">
        <v>1077</v>
      </c>
      <c r="C222" s="3" t="s">
        <v>691</v>
      </c>
      <c r="D222" s="3">
        <v>8.1999999999999993</v>
      </c>
      <c r="E222" s="3">
        <v>17.27436447217454</v>
      </c>
      <c r="F222" s="3">
        <v>860</v>
      </c>
      <c r="G222" s="4">
        <v>13.2</v>
      </c>
      <c r="H222" s="7"/>
      <c r="I222" s="7"/>
      <c r="J222" s="38">
        <f t="shared" si="49"/>
        <v>16.065359626264808</v>
      </c>
      <c r="K222" s="37">
        <f t="shared" si="50"/>
        <v>15.955582459666669</v>
      </c>
      <c r="L222" s="37">
        <f t="shared" si="51"/>
        <v>15.736038060298485</v>
      </c>
      <c r="M222" s="39">
        <f t="shared" si="52"/>
        <v>97.939933650082097</v>
      </c>
      <c r="N222" s="117"/>
      <c r="O222" s="38">
        <f t="shared" si="53"/>
        <v>1.9591901983249767</v>
      </c>
      <c r="P222" s="37">
        <f t="shared" si="54"/>
        <v>1.9458027389837402</v>
      </c>
      <c r="Q222" s="37">
        <f t="shared" si="55"/>
        <v>1.9190290317437178</v>
      </c>
      <c r="R222" s="39">
        <f t="shared" si="56"/>
        <v>11.943894347570989</v>
      </c>
    </row>
    <row r="223" spans="2:18" customFormat="1" x14ac:dyDescent="0.25">
      <c r="B223" s="19" t="s">
        <v>1077</v>
      </c>
      <c r="C223" s="3" t="s">
        <v>692</v>
      </c>
      <c r="D223" s="3">
        <v>4.8</v>
      </c>
      <c r="E223" s="3">
        <v>10.237644139404841</v>
      </c>
      <c r="F223" s="3">
        <v>790</v>
      </c>
      <c r="G223" s="4">
        <v>9.6</v>
      </c>
      <c r="H223" s="7"/>
      <c r="I223" s="7"/>
      <c r="J223" s="38">
        <f t="shared" si="49"/>
        <v>6.9931626768043431</v>
      </c>
      <c r="K223" s="37">
        <f t="shared" si="50"/>
        <v>6.9181245351490466</v>
      </c>
      <c r="L223" s="37">
        <f t="shared" si="51"/>
        <v>2.7255891758580364</v>
      </c>
      <c r="M223" s="39">
        <f t="shared" si="52"/>
        <v>6.7026440341269407</v>
      </c>
      <c r="N223" s="117"/>
      <c r="O223" s="38">
        <f t="shared" si="53"/>
        <v>1.4569088910009049</v>
      </c>
      <c r="P223" s="37">
        <f t="shared" si="54"/>
        <v>1.4412759448227181</v>
      </c>
      <c r="Q223" s="37">
        <f t="shared" si="55"/>
        <v>0.56783107830375756</v>
      </c>
      <c r="R223" s="39">
        <f t="shared" si="56"/>
        <v>1.396384173776446</v>
      </c>
    </row>
    <row r="224" spans="2:18" customFormat="1" x14ac:dyDescent="0.25">
      <c r="B224" s="19" t="s">
        <v>1077</v>
      </c>
      <c r="C224" s="3" t="s">
        <v>693</v>
      </c>
      <c r="D224" s="3">
        <v>4.8</v>
      </c>
      <c r="E224" s="3">
        <v>11.291519271402397</v>
      </c>
      <c r="F224" s="3">
        <v>1000</v>
      </c>
      <c r="G224" s="4">
        <v>10.199999999999999</v>
      </c>
      <c r="H224" s="7"/>
      <c r="I224" s="7"/>
      <c r="J224" s="38">
        <f t="shared" si="49"/>
        <v>7.4504729914135934</v>
      </c>
      <c r="K224" s="37">
        <f t="shared" si="50"/>
        <v>7.630284413767332</v>
      </c>
      <c r="L224" s="37">
        <f t="shared" si="51"/>
        <v>4.0787605703689405</v>
      </c>
      <c r="M224" s="39">
        <f t="shared" si="52"/>
        <v>10.772956297701425</v>
      </c>
      <c r="N224" s="117"/>
      <c r="O224" s="38">
        <f t="shared" si="53"/>
        <v>1.5521818732111654</v>
      </c>
      <c r="P224" s="37">
        <f t="shared" si="54"/>
        <v>1.5896425862015275</v>
      </c>
      <c r="Q224" s="37">
        <f t="shared" si="55"/>
        <v>0.8497417854935293</v>
      </c>
      <c r="R224" s="39">
        <f t="shared" si="56"/>
        <v>2.2443658953544636</v>
      </c>
    </row>
    <row r="225" spans="2:18" customFormat="1" x14ac:dyDescent="0.25">
      <c r="B225" s="19" t="s">
        <v>1077</v>
      </c>
      <c r="C225" s="3" t="s">
        <v>694</v>
      </c>
      <c r="D225" s="3">
        <v>4.8</v>
      </c>
      <c r="E225" s="3">
        <v>10.839858500546301</v>
      </c>
      <c r="F225" s="3">
        <v>1020</v>
      </c>
      <c r="G225" s="4">
        <v>10.9</v>
      </c>
      <c r="H225" s="7"/>
      <c r="I225" s="7"/>
      <c r="J225" s="38">
        <f t="shared" si="49"/>
        <v>7.1354108389067283</v>
      </c>
      <c r="K225" s="37">
        <f t="shared" si="50"/>
        <v>7.3250730372166357</v>
      </c>
      <c r="L225" s="37">
        <f t="shared" si="51"/>
        <v>3.8348578043662247</v>
      </c>
      <c r="M225" s="39">
        <f t="shared" si="52"/>
        <v>9.7009712014970262</v>
      </c>
      <c r="N225" s="117"/>
      <c r="O225" s="38">
        <f t="shared" si="53"/>
        <v>1.4865439247722352</v>
      </c>
      <c r="P225" s="37">
        <f t="shared" si="54"/>
        <v>1.5260568827534657</v>
      </c>
      <c r="Q225" s="37">
        <f t="shared" si="55"/>
        <v>0.79892870924296355</v>
      </c>
      <c r="R225" s="39">
        <f t="shared" si="56"/>
        <v>2.0210356669785474</v>
      </c>
    </row>
    <row r="226" spans="2:18" customFormat="1" x14ac:dyDescent="0.25">
      <c r="B226" s="19" t="s">
        <v>1077</v>
      </c>
      <c r="C226" s="3" t="s">
        <v>695</v>
      </c>
      <c r="D226" s="3">
        <v>9</v>
      </c>
      <c r="E226" s="3">
        <v>16.894282205877641</v>
      </c>
      <c r="F226" s="3">
        <v>470</v>
      </c>
      <c r="G226" s="4">
        <v>17.3</v>
      </c>
      <c r="H226" s="7"/>
      <c r="I226" s="7"/>
      <c r="J226" s="38">
        <f t="shared" si="49"/>
        <v>16.887825325363085</v>
      </c>
      <c r="K226" s="37">
        <f t="shared" si="50"/>
        <v>16.228640468551269</v>
      </c>
      <c r="L226" s="37">
        <f t="shared" si="51"/>
        <v>10.425619318919944</v>
      </c>
      <c r="M226" s="39">
        <f t="shared" si="52"/>
        <v>68.057497346358304</v>
      </c>
      <c r="N226" s="117"/>
      <c r="O226" s="38">
        <f t="shared" si="53"/>
        <v>1.8764250361514538</v>
      </c>
      <c r="P226" s="37">
        <f t="shared" si="54"/>
        <v>1.8031822742834744</v>
      </c>
      <c r="Q226" s="37">
        <f t="shared" si="55"/>
        <v>1.1584021465466605</v>
      </c>
      <c r="R226" s="39">
        <f t="shared" si="56"/>
        <v>7.5619441495953668</v>
      </c>
    </row>
    <row r="227" spans="2:18" customFormat="1" x14ac:dyDescent="0.25">
      <c r="B227" s="19" t="s">
        <v>1077</v>
      </c>
      <c r="C227" s="3" t="s">
        <v>696</v>
      </c>
      <c r="D227" s="3">
        <v>9</v>
      </c>
      <c r="E227" s="3">
        <v>20.127138677372745</v>
      </c>
      <c r="F227" s="3">
        <v>540</v>
      </c>
      <c r="G227" s="4">
        <v>19.2</v>
      </c>
      <c r="H227" s="7"/>
      <c r="I227" s="7"/>
      <c r="J227" s="38">
        <f t="shared" si="49"/>
        <v>22.303431192662455</v>
      </c>
      <c r="K227" s="37">
        <f t="shared" si="50"/>
        <v>19.334121052039475</v>
      </c>
      <c r="L227" s="37">
        <f t="shared" si="51"/>
        <v>20.103662478573479</v>
      </c>
      <c r="M227" s="39">
        <f t="shared" si="52"/>
        <v>174.43629722444624</v>
      </c>
      <c r="N227" s="117"/>
      <c r="O227" s="38">
        <f t="shared" si="53"/>
        <v>2.4781590214069396</v>
      </c>
      <c r="P227" s="37">
        <f t="shared" si="54"/>
        <v>2.1482356724488305</v>
      </c>
      <c r="Q227" s="37">
        <f t="shared" si="55"/>
        <v>2.2337402753970532</v>
      </c>
      <c r="R227" s="39">
        <f t="shared" si="56"/>
        <v>19.381810802716249</v>
      </c>
    </row>
    <row r="228" spans="2:18" customFormat="1" x14ac:dyDescent="0.25">
      <c r="B228" s="19" t="s">
        <v>1077</v>
      </c>
      <c r="C228" s="3" t="s">
        <v>697</v>
      </c>
      <c r="D228" s="3">
        <v>9</v>
      </c>
      <c r="E228" s="3">
        <v>17.415710669022019</v>
      </c>
      <c r="F228" s="3">
        <v>470</v>
      </c>
      <c r="G228" s="4">
        <v>18.100000000000001</v>
      </c>
      <c r="H228" s="7"/>
      <c r="I228" s="7"/>
      <c r="J228" s="38">
        <f t="shared" si="49"/>
        <v>17.691846166055601</v>
      </c>
      <c r="K228" s="37">
        <f t="shared" si="50"/>
        <v>16.729524433630019</v>
      </c>
      <c r="L228" s="37">
        <f t="shared" si="51"/>
        <v>11.458959961645629</v>
      </c>
      <c r="M228" s="39">
        <f t="shared" si="52"/>
        <v>78.417279385840033</v>
      </c>
      <c r="N228" s="117"/>
      <c r="O228" s="38">
        <f t="shared" si="53"/>
        <v>1.9657606851172891</v>
      </c>
      <c r="P228" s="37">
        <f t="shared" si="54"/>
        <v>1.8588360481811133</v>
      </c>
      <c r="Q228" s="37">
        <f t="shared" si="55"/>
        <v>1.2732177735161809</v>
      </c>
      <c r="R228" s="39">
        <f t="shared" si="56"/>
        <v>8.7130310428711155</v>
      </c>
    </row>
    <row r="229" spans="2:18" customFormat="1" x14ac:dyDescent="0.25">
      <c r="B229" s="19" t="s">
        <v>1077</v>
      </c>
      <c r="C229" s="3" t="s">
        <v>698</v>
      </c>
      <c r="D229" s="3">
        <v>9</v>
      </c>
      <c r="E229" s="3">
        <v>13.86999711964029</v>
      </c>
      <c r="F229" s="3">
        <v>920</v>
      </c>
      <c r="G229" s="4">
        <v>12.9</v>
      </c>
      <c r="H229" s="7"/>
      <c r="I229" s="7"/>
      <c r="J229" s="38">
        <f t="shared" ref="J229:J256" si="57">EXP(1.663888 -2.480653/D229+ 0.089199*E229 -0.000146*F229)</f>
        <v>12.07491019161642</v>
      </c>
      <c r="K229" s="37">
        <f t="shared" ref="K229:K256" si="58">EXP(LN(E229) -3.617786 * (1/D229- 0.1))</f>
        <v>13.323513471094566</v>
      </c>
      <c r="L229" s="37">
        <f t="shared" ref="L229:L256" si="59">EXP(-0.668643 -4.714003/D229+ 0.181244*E229+ 0.00101*F229)</f>
        <v>9.4937401215591635</v>
      </c>
      <c r="M229" s="39">
        <f t="shared" ref="M229:M256" si="60">EXP(0.117821 -8.184507/D229+ 0.271737*E229+ 0.000896*F229)</f>
        <v>44.779154985300046</v>
      </c>
      <c r="N229" s="117"/>
      <c r="O229" s="38">
        <f t="shared" si="53"/>
        <v>1.3416566879573799</v>
      </c>
      <c r="P229" s="37">
        <f t="shared" si="54"/>
        <v>1.4803903856771741</v>
      </c>
      <c r="Q229" s="37">
        <f t="shared" si="55"/>
        <v>1.0548600135065738</v>
      </c>
      <c r="R229" s="39">
        <f t="shared" si="56"/>
        <v>4.9754616650333388</v>
      </c>
    </row>
    <row r="230" spans="2:18" customFormat="1" x14ac:dyDescent="0.25">
      <c r="B230" s="19" t="s">
        <v>1077</v>
      </c>
      <c r="C230" s="3" t="s">
        <v>699</v>
      </c>
      <c r="D230" s="3">
        <v>9</v>
      </c>
      <c r="E230" s="3">
        <v>14.391425582784663</v>
      </c>
      <c r="F230" s="3">
        <v>690</v>
      </c>
      <c r="G230" s="4">
        <v>14.7</v>
      </c>
      <c r="H230" s="7"/>
      <c r="I230" s="7"/>
      <c r="J230" s="38">
        <f t="shared" si="57"/>
        <v>13.08178310104342</v>
      </c>
      <c r="K230" s="37">
        <f t="shared" si="58"/>
        <v>13.824397436173308</v>
      </c>
      <c r="L230" s="37">
        <f t="shared" si="59"/>
        <v>8.2716865753004036</v>
      </c>
      <c r="M230" s="39">
        <f t="shared" si="60"/>
        <v>41.986752292589109</v>
      </c>
      <c r="N230" s="117"/>
      <c r="O230" s="38">
        <f t="shared" si="53"/>
        <v>1.4535314556714911</v>
      </c>
      <c r="P230" s="37">
        <f t="shared" si="54"/>
        <v>1.536044159574812</v>
      </c>
      <c r="Q230" s="37">
        <f t="shared" si="55"/>
        <v>0.91907628614448933</v>
      </c>
      <c r="R230" s="39">
        <f t="shared" si="56"/>
        <v>4.6651946991765678</v>
      </c>
    </row>
    <row r="231" spans="2:18" customFormat="1" x14ac:dyDescent="0.25">
      <c r="B231" s="19" t="s">
        <v>1077</v>
      </c>
      <c r="C231" s="3" t="s">
        <v>700</v>
      </c>
      <c r="D231" s="3">
        <v>10.1</v>
      </c>
      <c r="E231" s="3">
        <v>13.44961283149871</v>
      </c>
      <c r="F231" s="3">
        <v>610</v>
      </c>
      <c r="G231" s="4">
        <v>13.1</v>
      </c>
      <c r="H231" s="7"/>
      <c r="I231" s="7"/>
      <c r="J231" s="38">
        <f t="shared" si="57"/>
        <v>12.539840389780116</v>
      </c>
      <c r="K231" s="37">
        <f t="shared" si="58"/>
        <v>13.497875277527868</v>
      </c>
      <c r="L231" s="37">
        <f t="shared" si="59"/>
        <v>6.8099559910191072</v>
      </c>
      <c r="M231" s="39">
        <f t="shared" si="60"/>
        <v>33.407860422002301</v>
      </c>
      <c r="N231" s="117"/>
      <c r="O231" s="38">
        <f t="shared" si="53"/>
        <v>1.241568355423774</v>
      </c>
      <c r="P231" s="37">
        <f t="shared" si="54"/>
        <v>1.3364232948047394</v>
      </c>
      <c r="Q231" s="37">
        <f t="shared" si="55"/>
        <v>0.67425306841773336</v>
      </c>
      <c r="R231" s="39">
        <f t="shared" si="56"/>
        <v>3.3077089526734951</v>
      </c>
    </row>
    <row r="232" spans="2:18" customFormat="1" x14ac:dyDescent="0.25">
      <c r="B232" s="19" t="s">
        <v>1077</v>
      </c>
      <c r="C232" s="3" t="s">
        <v>701</v>
      </c>
      <c r="D232" s="3">
        <v>10.1</v>
      </c>
      <c r="E232" s="3">
        <v>12.254091690921049</v>
      </c>
      <c r="F232" s="3">
        <v>700</v>
      </c>
      <c r="G232" s="4">
        <v>11.7</v>
      </c>
      <c r="H232" s="7"/>
      <c r="I232" s="7"/>
      <c r="J232" s="38">
        <f t="shared" si="57"/>
        <v>11.124295684810518</v>
      </c>
      <c r="K232" s="37">
        <f t="shared" si="58"/>
        <v>12.298064141747616</v>
      </c>
      <c r="L232" s="37">
        <f t="shared" si="59"/>
        <v>6.0050730728895072</v>
      </c>
      <c r="M232" s="39">
        <f t="shared" si="60"/>
        <v>26.168695969639785</v>
      </c>
      <c r="N232" s="117"/>
      <c r="O232" s="38">
        <f t="shared" si="53"/>
        <v>1.1014154143376751</v>
      </c>
      <c r="P232" s="37">
        <f t="shared" si="54"/>
        <v>1.2176301130443186</v>
      </c>
      <c r="Q232" s="37">
        <f t="shared" si="55"/>
        <v>0.59456169038509976</v>
      </c>
      <c r="R232" s="39">
        <f t="shared" si="56"/>
        <v>2.5909599969940382</v>
      </c>
    </row>
    <row r="233" spans="2:18" customFormat="1" x14ac:dyDescent="0.25">
      <c r="B233" s="19" t="s">
        <v>1077</v>
      </c>
      <c r="C233" s="3" t="s">
        <v>702</v>
      </c>
      <c r="D233" s="3">
        <v>10.1</v>
      </c>
      <c r="E233" s="3">
        <v>11.855584644061826</v>
      </c>
      <c r="F233" s="3">
        <v>710</v>
      </c>
      <c r="G233" s="4">
        <v>10.6</v>
      </c>
      <c r="H233" s="7"/>
      <c r="I233" s="7"/>
      <c r="J233" s="38">
        <f t="shared" si="57"/>
        <v>10.720149342456081</v>
      </c>
      <c r="K233" s="37">
        <f t="shared" si="58"/>
        <v>11.898127096487528</v>
      </c>
      <c r="L233" s="37">
        <f t="shared" si="59"/>
        <v>5.643348601134857</v>
      </c>
      <c r="M233" s="39">
        <f t="shared" si="60"/>
        <v>23.694306250911861</v>
      </c>
      <c r="N233" s="117"/>
      <c r="O233" s="38">
        <f t="shared" si="53"/>
        <v>1.0614009249956515</v>
      </c>
      <c r="P233" s="37">
        <f t="shared" si="54"/>
        <v>1.1780323857908443</v>
      </c>
      <c r="Q233" s="37">
        <f t="shared" si="55"/>
        <v>0.55874738625097597</v>
      </c>
      <c r="R233" s="39">
        <f t="shared" si="56"/>
        <v>2.3459709159318676</v>
      </c>
    </row>
    <row r="234" spans="2:18" customFormat="1" x14ac:dyDescent="0.25">
      <c r="B234" s="19" t="s">
        <v>1077</v>
      </c>
      <c r="C234" s="3" t="s">
        <v>703</v>
      </c>
      <c r="D234" s="3">
        <v>10.1</v>
      </c>
      <c r="E234" s="3">
        <v>10.460809980054552</v>
      </c>
      <c r="F234" s="3">
        <v>430</v>
      </c>
      <c r="G234" s="4">
        <v>16</v>
      </c>
      <c r="H234" s="7"/>
      <c r="I234" s="7"/>
      <c r="J234" s="38">
        <f t="shared" si="57"/>
        <v>9.8610492867807427</v>
      </c>
      <c r="K234" s="37">
        <f t="shared" si="58"/>
        <v>10.49834743807723</v>
      </c>
      <c r="L234" s="37">
        <f t="shared" si="59"/>
        <v>3.3031715203889882</v>
      </c>
      <c r="M234" s="39">
        <f t="shared" si="60"/>
        <v>12.620757686078031</v>
      </c>
      <c r="N234" s="117"/>
      <c r="O234" s="38">
        <f t="shared" si="53"/>
        <v>0.97634151354264787</v>
      </c>
      <c r="P234" s="37">
        <f t="shared" si="54"/>
        <v>1.0394403404036863</v>
      </c>
      <c r="Q234" s="37">
        <f t="shared" si="55"/>
        <v>0.32704668518702856</v>
      </c>
      <c r="R234" s="39">
        <f t="shared" si="56"/>
        <v>1.2495799689186169</v>
      </c>
    </row>
    <row r="235" spans="2:18" customFormat="1" x14ac:dyDescent="0.25">
      <c r="B235" s="19" t="s">
        <v>1077</v>
      </c>
      <c r="C235" s="3" t="s">
        <v>704</v>
      </c>
      <c r="D235" s="3">
        <v>8.1</v>
      </c>
      <c r="E235" s="3">
        <v>15.73391943033821</v>
      </c>
      <c r="F235" s="3">
        <v>700</v>
      </c>
      <c r="G235" s="4">
        <v>15.8</v>
      </c>
      <c r="H235" s="7"/>
      <c r="I235" s="7"/>
      <c r="J235" s="38">
        <f t="shared" si="57"/>
        <v>14.280349372544505</v>
      </c>
      <c r="K235" s="37">
        <f t="shared" si="58"/>
        <v>14.453797867766061</v>
      </c>
      <c r="L235" s="37">
        <f t="shared" si="59"/>
        <v>10.054897348981298</v>
      </c>
      <c r="M235" s="39">
        <f t="shared" si="60"/>
        <v>55.151067470531288</v>
      </c>
      <c r="N235" s="117"/>
      <c r="O235" s="38">
        <f t="shared" si="53"/>
        <v>1.7630060953758648</v>
      </c>
      <c r="P235" s="37">
        <f t="shared" si="54"/>
        <v>1.784419489847662</v>
      </c>
      <c r="Q235" s="37">
        <f t="shared" si="55"/>
        <v>1.2413453517260862</v>
      </c>
      <c r="R235" s="39">
        <f t="shared" si="56"/>
        <v>6.8087737617939865</v>
      </c>
    </row>
    <row r="236" spans="2:18" customFormat="1" x14ac:dyDescent="0.25">
      <c r="B236" s="19" t="s">
        <v>1077</v>
      </c>
      <c r="C236" s="3" t="s">
        <v>705</v>
      </c>
      <c r="D236" s="3">
        <v>8.1</v>
      </c>
      <c r="E236" s="3">
        <v>15.406129442206165</v>
      </c>
      <c r="F236" s="3">
        <v>550</v>
      </c>
      <c r="G236" s="4">
        <v>13.5</v>
      </c>
      <c r="H236" s="7"/>
      <c r="I236" s="7"/>
      <c r="J236" s="38">
        <f t="shared" si="57"/>
        <v>14.175936058764597</v>
      </c>
      <c r="K236" s="37">
        <f t="shared" si="58"/>
        <v>14.15267707885427</v>
      </c>
      <c r="L236" s="37">
        <f t="shared" si="59"/>
        <v>8.1429282045104987</v>
      </c>
      <c r="M236" s="39">
        <f t="shared" si="60"/>
        <v>44.10633545624254</v>
      </c>
      <c r="N236" s="117"/>
      <c r="O236" s="38">
        <f t="shared" si="53"/>
        <v>1.7501155628104441</v>
      </c>
      <c r="P236" s="37">
        <f t="shared" si="54"/>
        <v>1.7472440838091692</v>
      </c>
      <c r="Q236" s="37">
        <f t="shared" si="55"/>
        <v>1.0052997783346296</v>
      </c>
      <c r="R236" s="39">
        <f t="shared" si="56"/>
        <v>5.4452265995361167</v>
      </c>
    </row>
    <row r="237" spans="2:18" customFormat="1" x14ac:dyDescent="0.25">
      <c r="B237" s="19" t="s">
        <v>1077</v>
      </c>
      <c r="C237" s="3" t="s">
        <v>706</v>
      </c>
      <c r="D237" s="3">
        <v>8.1</v>
      </c>
      <c r="E237" s="3">
        <v>16.389499406602305</v>
      </c>
      <c r="F237" s="3">
        <v>670</v>
      </c>
      <c r="G237" s="4">
        <v>14.2</v>
      </c>
      <c r="H237" s="7"/>
      <c r="I237" s="7"/>
      <c r="J237" s="38">
        <f t="shared" si="57"/>
        <v>15.206781820973823</v>
      </c>
      <c r="K237" s="37">
        <f t="shared" si="58"/>
        <v>15.056039445589649</v>
      </c>
      <c r="L237" s="37">
        <f t="shared" si="59"/>
        <v>10.985538779142646</v>
      </c>
      <c r="M237" s="39">
        <f t="shared" si="60"/>
        <v>64.157528202174532</v>
      </c>
      <c r="N237" s="117"/>
      <c r="O237" s="38">
        <f t="shared" si="53"/>
        <v>1.8773804717251634</v>
      </c>
      <c r="P237" s="37">
        <f t="shared" si="54"/>
        <v>1.8587703019246482</v>
      </c>
      <c r="Q237" s="37">
        <f t="shared" si="55"/>
        <v>1.3562393554497094</v>
      </c>
      <c r="R237" s="39">
        <f t="shared" si="56"/>
        <v>7.9206824940956215</v>
      </c>
    </row>
    <row r="238" spans="2:18" customFormat="1" x14ac:dyDescent="0.25">
      <c r="B238" s="19" t="s">
        <v>1077</v>
      </c>
      <c r="C238" s="3" t="s">
        <v>707</v>
      </c>
      <c r="D238" s="3">
        <v>8</v>
      </c>
      <c r="E238" s="3">
        <v>14.836771589032875</v>
      </c>
      <c r="F238" s="3">
        <v>940</v>
      </c>
      <c r="G238" s="4">
        <v>11.5</v>
      </c>
      <c r="H238" s="7"/>
      <c r="I238" s="7"/>
      <c r="J238" s="38">
        <f t="shared" si="57"/>
        <v>12.679564005202179</v>
      </c>
      <c r="K238" s="37">
        <f t="shared" si="58"/>
        <v>13.553760224399392</v>
      </c>
      <c r="L238" s="37">
        <f t="shared" si="59"/>
        <v>10.811198065518655</v>
      </c>
      <c r="M238" s="39">
        <f t="shared" si="60"/>
        <v>52.915559512586782</v>
      </c>
      <c r="N238" s="117"/>
      <c r="O238" s="38">
        <f t="shared" si="53"/>
        <v>1.5849455006502724</v>
      </c>
      <c r="P238" s="37">
        <f t="shared" si="54"/>
        <v>1.694220028049924</v>
      </c>
      <c r="Q238" s="37">
        <f t="shared" si="55"/>
        <v>1.3513997581898318</v>
      </c>
      <c r="R238" s="39">
        <f t="shared" si="56"/>
        <v>6.6144449390733477</v>
      </c>
    </row>
    <row r="239" spans="2:18" customFormat="1" x14ac:dyDescent="0.25">
      <c r="B239" s="19" t="s">
        <v>1077</v>
      </c>
      <c r="C239" s="3" t="s">
        <v>708</v>
      </c>
      <c r="D239" s="3">
        <v>8</v>
      </c>
      <c r="E239" s="3">
        <v>15.27637963611533</v>
      </c>
      <c r="F239" s="3">
        <v>940</v>
      </c>
      <c r="G239" s="4">
        <v>12</v>
      </c>
      <c r="H239" s="7"/>
      <c r="I239" s="7"/>
      <c r="J239" s="38">
        <f t="shared" si="57"/>
        <v>13.186639555902799</v>
      </c>
      <c r="K239" s="37">
        <f t="shared" si="58"/>
        <v>13.955353119937151</v>
      </c>
      <c r="L239" s="37">
        <f t="shared" si="59"/>
        <v>11.707840853516988</v>
      </c>
      <c r="M239" s="39">
        <f t="shared" si="60"/>
        <v>59.629785036864604</v>
      </c>
      <c r="N239" s="117"/>
      <c r="O239" s="38">
        <f t="shared" si="53"/>
        <v>1.6483299444878499</v>
      </c>
      <c r="P239" s="37">
        <f t="shared" si="54"/>
        <v>1.7444191399921438</v>
      </c>
      <c r="Q239" s="37">
        <f t="shared" si="55"/>
        <v>1.4634801066896235</v>
      </c>
      <c r="R239" s="39">
        <f t="shared" si="56"/>
        <v>7.4537231296080755</v>
      </c>
    </row>
    <row r="240" spans="2:18" customFormat="1" x14ac:dyDescent="0.25">
      <c r="B240" s="19" t="s">
        <v>1077</v>
      </c>
      <c r="C240" s="3" t="s">
        <v>709</v>
      </c>
      <c r="D240" s="3">
        <v>8</v>
      </c>
      <c r="E240" s="3">
        <v>13.957555494867966</v>
      </c>
      <c r="F240" s="3">
        <v>990</v>
      </c>
      <c r="G240" s="4">
        <v>9.6</v>
      </c>
      <c r="H240" s="7"/>
      <c r="I240" s="7"/>
      <c r="J240" s="38">
        <f t="shared" si="57"/>
        <v>11.637892481114147</v>
      </c>
      <c r="K240" s="37">
        <f t="shared" si="58"/>
        <v>12.750574433323875</v>
      </c>
      <c r="L240" s="37">
        <f t="shared" si="59"/>
        <v>9.6961588584796505</v>
      </c>
      <c r="M240" s="39">
        <f t="shared" si="60"/>
        <v>43.579283245305774</v>
      </c>
      <c r="N240" s="117"/>
      <c r="O240" s="38">
        <f t="shared" si="53"/>
        <v>1.4547365601392683</v>
      </c>
      <c r="P240" s="37">
        <f t="shared" si="54"/>
        <v>1.5938218041654844</v>
      </c>
      <c r="Q240" s="37">
        <f t="shared" si="55"/>
        <v>1.2120198573099563</v>
      </c>
      <c r="R240" s="39">
        <f t="shared" si="56"/>
        <v>5.4474104056632218</v>
      </c>
    </row>
    <row r="241" spans="2:18" customFormat="1" x14ac:dyDescent="0.25">
      <c r="B241" s="19" t="s">
        <v>1077</v>
      </c>
      <c r="C241" s="3" t="s">
        <v>710</v>
      </c>
      <c r="D241" s="3">
        <v>3.7</v>
      </c>
      <c r="E241" s="3">
        <v>15.028262186608968</v>
      </c>
      <c r="F241" s="3">
        <v>1040</v>
      </c>
      <c r="G241" s="4">
        <v>7.7</v>
      </c>
      <c r="H241" s="7"/>
      <c r="I241" s="7"/>
      <c r="J241" s="38">
        <f t="shared" si="57"/>
        <v>8.8649668671280111</v>
      </c>
      <c r="K241" s="37">
        <f t="shared" si="58"/>
        <v>8.1167609280074053</v>
      </c>
      <c r="L241" s="37">
        <f t="shared" si="59"/>
        <v>6.243147653723442</v>
      </c>
      <c r="M241" s="39">
        <f t="shared" si="60"/>
        <v>18.566650042424524</v>
      </c>
      <c r="N241" s="117"/>
      <c r="O241" s="38">
        <f t="shared" si="53"/>
        <v>2.3959369911156787</v>
      </c>
      <c r="P241" s="37">
        <f t="shared" si="54"/>
        <v>2.1937191697317311</v>
      </c>
      <c r="Q241" s="37">
        <f t="shared" si="55"/>
        <v>1.6873372037090384</v>
      </c>
      <c r="R241" s="39">
        <f t="shared" si="56"/>
        <v>5.018013524979601</v>
      </c>
    </row>
    <row r="242" spans="2:18" customFormat="1" x14ac:dyDescent="0.25">
      <c r="B242" s="19" t="s">
        <v>1077</v>
      </c>
      <c r="C242" s="3" t="s">
        <v>711</v>
      </c>
      <c r="D242" s="3">
        <v>5.5</v>
      </c>
      <c r="E242" s="3">
        <v>5.8569125489317502</v>
      </c>
      <c r="F242" s="3">
        <v>1020</v>
      </c>
      <c r="G242" s="4">
        <v>4.7</v>
      </c>
      <c r="H242" s="7"/>
      <c r="I242" s="7"/>
      <c r="J242" s="38">
        <f t="shared" si="57"/>
        <v>4.8859851047331206</v>
      </c>
      <c r="K242" s="37">
        <f t="shared" si="58"/>
        <v>4.3562949903096264</v>
      </c>
      <c r="L242" s="37">
        <f t="shared" si="59"/>
        <v>1.7612007195800945</v>
      </c>
      <c r="M242" s="39">
        <f t="shared" si="60"/>
        <v>3.1117605631393834</v>
      </c>
      <c r="N242" s="117"/>
      <c r="O242" s="38">
        <f t="shared" si="53"/>
        <v>0.8883609281332947</v>
      </c>
      <c r="P242" s="37">
        <f t="shared" si="54"/>
        <v>0.79205363460175027</v>
      </c>
      <c r="Q242" s="37">
        <f t="shared" si="55"/>
        <v>0.32021831265092626</v>
      </c>
      <c r="R242" s="39">
        <f t="shared" si="56"/>
        <v>0.56577464784352427</v>
      </c>
    </row>
    <row r="243" spans="2:18" customFormat="1" x14ac:dyDescent="0.25">
      <c r="B243" s="19" t="s">
        <v>1077</v>
      </c>
      <c r="C243" s="3" t="s">
        <v>712</v>
      </c>
      <c r="D243" s="3">
        <v>9.4</v>
      </c>
      <c r="E243" s="3">
        <v>13.317198647736578</v>
      </c>
      <c r="F243" s="3">
        <v>760</v>
      </c>
      <c r="G243" s="4">
        <v>13.2</v>
      </c>
      <c r="H243" s="7"/>
      <c r="I243" s="7"/>
      <c r="J243" s="38">
        <f t="shared" si="57"/>
        <v>11.904417465952932</v>
      </c>
      <c r="K243" s="37">
        <f t="shared" si="58"/>
        <v>13.01319809064694</v>
      </c>
      <c r="L243" s="37">
        <f t="shared" si="59"/>
        <v>7.4717532034134813</v>
      </c>
      <c r="M243" s="39">
        <f t="shared" si="60"/>
        <v>34.704326941431695</v>
      </c>
      <c r="N243" s="117"/>
      <c r="O243" s="38">
        <f t="shared" si="53"/>
        <v>1.2664273899949927</v>
      </c>
      <c r="P243" s="37">
        <f t="shared" si="54"/>
        <v>1.3843827756007383</v>
      </c>
      <c r="Q243" s="37">
        <f t="shared" si="55"/>
        <v>0.79486736206526398</v>
      </c>
      <c r="R243" s="39">
        <f t="shared" si="56"/>
        <v>3.691949674620393</v>
      </c>
    </row>
    <row r="244" spans="2:18" customFormat="1" x14ac:dyDescent="0.25">
      <c r="B244" s="19" t="s">
        <v>1077</v>
      </c>
      <c r="C244" s="3" t="s">
        <v>713</v>
      </c>
      <c r="D244" s="3">
        <v>7.4</v>
      </c>
      <c r="E244" s="3">
        <v>17.47112947424306</v>
      </c>
      <c r="F244" s="3">
        <v>420</v>
      </c>
      <c r="G244" s="4">
        <v>15.6</v>
      </c>
      <c r="H244" s="7"/>
      <c r="I244" s="7"/>
      <c r="J244" s="38">
        <f t="shared" si="57"/>
        <v>16.873627491176833</v>
      </c>
      <c r="K244" s="37">
        <f t="shared" si="58"/>
        <v>15.385697964045837</v>
      </c>
      <c r="L244" s="37">
        <f t="shared" si="59"/>
        <v>9.8263441543153967</v>
      </c>
      <c r="M244" s="39">
        <f t="shared" si="60"/>
        <v>62.532026561588737</v>
      </c>
      <c r="N244" s="117"/>
      <c r="O244" s="38">
        <f t="shared" si="53"/>
        <v>2.2802199312401124</v>
      </c>
      <c r="P244" s="37">
        <f t="shared" si="54"/>
        <v>2.0791483735197076</v>
      </c>
      <c r="Q244" s="37">
        <f t="shared" si="55"/>
        <v>1.3278843451777562</v>
      </c>
      <c r="R244" s="39">
        <f t="shared" si="56"/>
        <v>8.4502738596741533</v>
      </c>
    </row>
    <row r="245" spans="2:18" customFormat="1" x14ac:dyDescent="0.25">
      <c r="B245" s="19" t="s">
        <v>1077</v>
      </c>
      <c r="C245" s="3" t="s">
        <v>714</v>
      </c>
      <c r="D245" s="3">
        <v>7.4</v>
      </c>
      <c r="E245" s="3">
        <v>13.017704314141886</v>
      </c>
      <c r="F245" s="3">
        <v>1000</v>
      </c>
      <c r="G245" s="4">
        <v>11.2</v>
      </c>
      <c r="H245" s="7"/>
      <c r="I245" s="7"/>
      <c r="J245" s="38">
        <f t="shared" si="57"/>
        <v>10.421081573077684</v>
      </c>
      <c r="K245" s="37">
        <f t="shared" si="58"/>
        <v>11.46385338497533</v>
      </c>
      <c r="L245" s="37">
        <f t="shared" si="59"/>
        <v>7.8751353217622482</v>
      </c>
      <c r="M245" s="39">
        <f t="shared" si="60"/>
        <v>31.349504381534594</v>
      </c>
      <c r="N245" s="117"/>
      <c r="O245" s="38">
        <f t="shared" si="53"/>
        <v>1.4082542666321194</v>
      </c>
      <c r="P245" s="37">
        <f t="shared" si="54"/>
        <v>1.5491693763480174</v>
      </c>
      <c r="Q245" s="37">
        <f t="shared" si="55"/>
        <v>1.0642074759138174</v>
      </c>
      <c r="R245" s="39">
        <f t="shared" si="56"/>
        <v>4.2364195110181884</v>
      </c>
    </row>
    <row r="246" spans="2:18" customFormat="1" x14ac:dyDescent="0.25">
      <c r="B246" s="19" t="s">
        <v>1077</v>
      </c>
      <c r="C246" s="3" t="s">
        <v>715</v>
      </c>
      <c r="D246" s="3">
        <v>8.4</v>
      </c>
      <c r="E246" s="3">
        <v>18.375472049408305</v>
      </c>
      <c r="F246" s="3">
        <v>1120</v>
      </c>
      <c r="G246" s="4">
        <v>14.1</v>
      </c>
      <c r="H246" s="7"/>
      <c r="I246" s="7"/>
      <c r="J246" s="38">
        <f t="shared" si="57"/>
        <v>17.186529321669607</v>
      </c>
      <c r="K246" s="37">
        <f t="shared" si="58"/>
        <v>17.151858327130892</v>
      </c>
      <c r="L246" s="37">
        <f t="shared" si="59"/>
        <v>25.325460226666547</v>
      </c>
      <c r="M246" s="39">
        <f t="shared" si="60"/>
        <v>170.76538158137282</v>
      </c>
      <c r="N246" s="117"/>
      <c r="O246" s="38">
        <f t="shared" si="53"/>
        <v>2.0460153954368581</v>
      </c>
      <c r="P246" s="37">
        <f t="shared" si="54"/>
        <v>2.0418878960870108</v>
      </c>
      <c r="Q246" s="37">
        <f t="shared" si="55"/>
        <v>3.0149357412698268</v>
      </c>
      <c r="R246" s="39">
        <f t="shared" si="56"/>
        <v>20.329212093020573</v>
      </c>
    </row>
    <row r="247" spans="2:18" customFormat="1" x14ac:dyDescent="0.25">
      <c r="B247" s="19" t="s">
        <v>1077</v>
      </c>
      <c r="C247" s="3" t="s">
        <v>716</v>
      </c>
      <c r="D247" s="3">
        <v>8.4</v>
      </c>
      <c r="E247" s="3">
        <v>15.903917329312447</v>
      </c>
      <c r="F247" s="3">
        <v>1020</v>
      </c>
      <c r="G247" s="4">
        <v>12.7</v>
      </c>
      <c r="H247" s="7"/>
      <c r="I247" s="7"/>
      <c r="J247" s="38">
        <f t="shared" si="57"/>
        <v>13.988921410434429</v>
      </c>
      <c r="K247" s="37">
        <f t="shared" si="58"/>
        <v>14.844883230499248</v>
      </c>
      <c r="L247" s="37">
        <f t="shared" si="59"/>
        <v>14.626804338791004</v>
      </c>
      <c r="M247" s="39">
        <f t="shared" si="60"/>
        <v>79.764433681186489</v>
      </c>
      <c r="N247" s="117"/>
      <c r="O247" s="38">
        <f t="shared" si="53"/>
        <v>1.6653477869564797</v>
      </c>
      <c r="P247" s="37">
        <f t="shared" si="54"/>
        <v>1.7672480036308627</v>
      </c>
      <c r="Q247" s="37">
        <f t="shared" si="55"/>
        <v>1.7412862308084527</v>
      </c>
      <c r="R247" s="39">
        <f t="shared" si="56"/>
        <v>9.4957659144269631</v>
      </c>
    </row>
    <row r="248" spans="2:18" customFormat="1" x14ac:dyDescent="0.25">
      <c r="B248" s="19" t="s">
        <v>1077</v>
      </c>
      <c r="C248" s="3" t="s">
        <v>717</v>
      </c>
      <c r="D248" s="3">
        <v>5.8</v>
      </c>
      <c r="E248" s="3">
        <v>19.981061286362756</v>
      </c>
      <c r="F248" s="3">
        <v>450</v>
      </c>
      <c r="G248" s="4">
        <v>15</v>
      </c>
      <c r="H248" s="7"/>
      <c r="I248" s="7"/>
      <c r="J248" s="38">
        <f t="shared" si="57"/>
        <v>19.1591401191877</v>
      </c>
      <c r="K248" s="37">
        <f t="shared" si="58"/>
        <v>15.375991237540093</v>
      </c>
      <c r="L248" s="37">
        <f t="shared" si="59"/>
        <v>13.390497771139506</v>
      </c>
      <c r="M248" s="39">
        <f t="shared" si="60"/>
        <v>93.643287907750903</v>
      </c>
      <c r="N248" s="117"/>
      <c r="O248" s="38">
        <f t="shared" si="53"/>
        <v>3.3033000205496035</v>
      </c>
      <c r="P248" s="37">
        <f t="shared" si="54"/>
        <v>2.6510329719896712</v>
      </c>
      <c r="Q248" s="37">
        <f t="shared" si="55"/>
        <v>2.3087065122654322</v>
      </c>
      <c r="R248" s="39">
        <f t="shared" si="56"/>
        <v>16.145394466853606</v>
      </c>
    </row>
    <row r="249" spans="2:18" customFormat="1" x14ac:dyDescent="0.25">
      <c r="B249" s="19" t="s">
        <v>1077</v>
      </c>
      <c r="C249" s="3" t="s">
        <v>718</v>
      </c>
      <c r="D249" s="3">
        <v>8</v>
      </c>
      <c r="E249" s="3">
        <v>17.364517859756994</v>
      </c>
      <c r="F249" s="3">
        <v>610</v>
      </c>
      <c r="G249" s="4">
        <v>14.4</v>
      </c>
      <c r="H249" s="7"/>
      <c r="I249" s="7"/>
      <c r="J249" s="38">
        <f t="shared" si="57"/>
        <v>16.670555233765207</v>
      </c>
      <c r="K249" s="37">
        <f t="shared" si="58"/>
        <v>15.862919373741509</v>
      </c>
      <c r="L249" s="37">
        <f t="shared" si="59"/>
        <v>12.248718263602193</v>
      </c>
      <c r="M249" s="39">
        <f t="shared" si="60"/>
        <v>78.249278948080146</v>
      </c>
      <c r="N249" s="117"/>
      <c r="O249" s="38">
        <f t="shared" si="53"/>
        <v>2.0838194042206508</v>
      </c>
      <c r="P249" s="37">
        <f t="shared" si="54"/>
        <v>1.9828649217176886</v>
      </c>
      <c r="Q249" s="37">
        <f t="shared" si="55"/>
        <v>1.5310897829502741</v>
      </c>
      <c r="R249" s="39">
        <f t="shared" si="56"/>
        <v>9.7811598685100183</v>
      </c>
    </row>
    <row r="250" spans="2:18" customFormat="1" x14ac:dyDescent="0.25">
      <c r="B250" s="19" t="s">
        <v>1077</v>
      </c>
      <c r="C250" s="3" t="s">
        <v>719</v>
      </c>
      <c r="D250" s="3">
        <v>5.5</v>
      </c>
      <c r="E250" s="3">
        <v>17.434530378215445</v>
      </c>
      <c r="F250" s="3">
        <v>1100</v>
      </c>
      <c r="G250" s="4">
        <v>13.2</v>
      </c>
      <c r="H250" s="7"/>
      <c r="I250" s="7"/>
      <c r="J250" s="38">
        <f t="shared" si="57"/>
        <v>13.563777996590105</v>
      </c>
      <c r="K250" s="37">
        <f t="shared" si="58"/>
        <v>12.967575785107728</v>
      </c>
      <c r="L250" s="37">
        <f t="shared" si="59"/>
        <v>15.567253437027853</v>
      </c>
      <c r="M250" s="39">
        <f t="shared" si="60"/>
        <v>77.706258380451544</v>
      </c>
      <c r="N250" s="117"/>
      <c r="O250" s="38">
        <f t="shared" si="53"/>
        <v>2.4661414539254736</v>
      </c>
      <c r="P250" s="37">
        <f t="shared" si="54"/>
        <v>2.3577410518377686</v>
      </c>
      <c r="Q250" s="37">
        <f t="shared" si="55"/>
        <v>2.830409715823246</v>
      </c>
      <c r="R250" s="39">
        <f t="shared" si="56"/>
        <v>14.128410614627553</v>
      </c>
    </row>
    <row r="251" spans="2:18" customFormat="1" x14ac:dyDescent="0.25">
      <c r="B251" s="19" t="s">
        <v>1077</v>
      </c>
      <c r="C251" s="3" t="s">
        <v>720</v>
      </c>
      <c r="D251" s="3">
        <v>7.4</v>
      </c>
      <c r="E251" s="3">
        <v>9.9345638186872183</v>
      </c>
      <c r="F251" s="3">
        <v>1060</v>
      </c>
      <c r="G251" s="4">
        <v>9</v>
      </c>
      <c r="H251" s="7"/>
      <c r="I251" s="7"/>
      <c r="J251" s="38">
        <f t="shared" si="57"/>
        <v>7.8464231610773814</v>
      </c>
      <c r="K251" s="37">
        <f t="shared" si="58"/>
        <v>8.7487302148495836</v>
      </c>
      <c r="L251" s="37">
        <f t="shared" si="59"/>
        <v>4.7851130585250043</v>
      </c>
      <c r="M251" s="39">
        <f t="shared" si="60"/>
        <v>14.312812411287972</v>
      </c>
      <c r="N251" s="117"/>
      <c r="O251" s="38">
        <f t="shared" si="53"/>
        <v>1.0603274541996461</v>
      </c>
      <c r="P251" s="37">
        <f t="shared" si="54"/>
        <v>1.1822608398445382</v>
      </c>
      <c r="Q251" s="37">
        <f t="shared" si="55"/>
        <v>0.64663689980067618</v>
      </c>
      <c r="R251" s="39">
        <f t="shared" si="56"/>
        <v>1.9341638393632394</v>
      </c>
    </row>
    <row r="252" spans="2:18" customFormat="1" x14ac:dyDescent="0.25">
      <c r="B252" s="19" t="s">
        <v>1077</v>
      </c>
      <c r="C252" s="3" t="s">
        <v>721</v>
      </c>
      <c r="D252" s="3">
        <v>7.8</v>
      </c>
      <c r="E252" s="3">
        <v>11.457767376274278</v>
      </c>
      <c r="F252" s="3">
        <v>1040</v>
      </c>
      <c r="G252" s="4">
        <v>13.8</v>
      </c>
      <c r="H252" s="7"/>
      <c r="I252" s="7"/>
      <c r="J252" s="38">
        <f t="shared" si="57"/>
        <v>9.1709140197289312</v>
      </c>
      <c r="K252" s="37">
        <f t="shared" si="58"/>
        <v>10.346287456767605</v>
      </c>
      <c r="L252" s="37">
        <f t="shared" si="59"/>
        <v>6.3856241124463669</v>
      </c>
      <c r="M252" s="39">
        <f t="shared" si="60"/>
        <v>22.507859611848563</v>
      </c>
      <c r="N252" s="117"/>
      <c r="O252" s="38">
        <f t="shared" si="53"/>
        <v>1.1757582076575552</v>
      </c>
      <c r="P252" s="37">
        <f t="shared" si="54"/>
        <v>1.3264471098420008</v>
      </c>
      <c r="Q252" s="37">
        <f t="shared" si="55"/>
        <v>0.81866975800594444</v>
      </c>
      <c r="R252" s="39">
        <f t="shared" si="56"/>
        <v>2.8856230271600722</v>
      </c>
    </row>
    <row r="253" spans="2:18" customFormat="1" x14ac:dyDescent="0.25">
      <c r="B253" s="19" t="s">
        <v>1077</v>
      </c>
      <c r="C253" s="3" t="s">
        <v>722</v>
      </c>
      <c r="D253" s="3">
        <v>7.8</v>
      </c>
      <c r="E253" s="3">
        <v>12.236450596021076</v>
      </c>
      <c r="F253" s="3">
        <v>1140</v>
      </c>
      <c r="G253" s="4">
        <v>12.3</v>
      </c>
      <c r="H253" s="7"/>
      <c r="I253" s="7"/>
      <c r="J253" s="38">
        <f t="shared" si="57"/>
        <v>9.6880650509362862</v>
      </c>
      <c r="K253" s="37">
        <f t="shared" si="58"/>
        <v>11.049433206256667</v>
      </c>
      <c r="L253" s="37">
        <f t="shared" si="59"/>
        <v>8.135041913091321</v>
      </c>
      <c r="M253" s="39">
        <f t="shared" si="60"/>
        <v>30.418823363439056</v>
      </c>
      <c r="N253" s="117"/>
      <c r="O253" s="38">
        <f t="shared" si="53"/>
        <v>1.2420596219149085</v>
      </c>
      <c r="P253" s="37">
        <f t="shared" si="54"/>
        <v>1.4165940008021369</v>
      </c>
      <c r="Q253" s="37">
        <f t="shared" si="55"/>
        <v>1.0429540914219642</v>
      </c>
      <c r="R253" s="39">
        <f t="shared" si="56"/>
        <v>3.8998491491588534</v>
      </c>
    </row>
    <row r="254" spans="2:18" customFormat="1" x14ac:dyDescent="0.25">
      <c r="B254" s="19" t="s">
        <v>1077</v>
      </c>
      <c r="C254" s="3" t="s">
        <v>723</v>
      </c>
      <c r="D254" s="3">
        <v>10.8</v>
      </c>
      <c r="E254" s="3">
        <v>12.641352229445811</v>
      </c>
      <c r="F254" s="3">
        <v>1200</v>
      </c>
      <c r="G254" s="4">
        <v>12.9</v>
      </c>
      <c r="H254" s="7"/>
      <c r="I254" s="7"/>
      <c r="J254" s="38">
        <f t="shared" si="57"/>
        <v>10.876384562054598</v>
      </c>
      <c r="K254" s="37">
        <f t="shared" si="58"/>
        <v>12.9847004768302</v>
      </c>
      <c r="L254" s="37">
        <f t="shared" si="59"/>
        <v>11.001641448034858</v>
      </c>
      <c r="M254" s="39">
        <f t="shared" si="60"/>
        <v>47.957701734719336</v>
      </c>
      <c r="N254" s="117"/>
      <c r="O254" s="38">
        <f t="shared" si="53"/>
        <v>1.0070726446346849</v>
      </c>
      <c r="P254" s="37">
        <f t="shared" si="54"/>
        <v>1.2022870811879813</v>
      </c>
      <c r="Q254" s="37">
        <f t="shared" si="55"/>
        <v>1.018670504447672</v>
      </c>
      <c r="R254" s="39">
        <f t="shared" si="56"/>
        <v>4.4405279383999385</v>
      </c>
    </row>
    <row r="255" spans="2:18" customFormat="1" x14ac:dyDescent="0.25">
      <c r="B255" s="19" t="s">
        <v>1077</v>
      </c>
      <c r="C255" s="3" t="s">
        <v>724</v>
      </c>
      <c r="D255" s="3">
        <v>8.8000000000000007</v>
      </c>
      <c r="E255" s="3">
        <v>12.002495873395674</v>
      </c>
      <c r="F255" s="3">
        <v>1120</v>
      </c>
      <c r="G255" s="4">
        <v>15.4</v>
      </c>
      <c r="H255" s="7"/>
      <c r="I255" s="7"/>
      <c r="J255" s="38">
        <f t="shared" si="57"/>
        <v>9.8659185095033202</v>
      </c>
      <c r="K255" s="37">
        <f t="shared" si="58"/>
        <v>11.424739917131372</v>
      </c>
      <c r="L255" s="37">
        <f t="shared" si="59"/>
        <v>8.184607065292079</v>
      </c>
      <c r="M255" s="39">
        <f t="shared" si="60"/>
        <v>31.58889413870433</v>
      </c>
      <c r="N255" s="117"/>
      <c r="O255" s="38">
        <f t="shared" si="53"/>
        <v>1.12112710335265</v>
      </c>
      <c r="P255" s="37">
        <f t="shared" si="54"/>
        <v>1.2982658996740195</v>
      </c>
      <c r="Q255" s="37">
        <f t="shared" si="55"/>
        <v>0.93006898469228161</v>
      </c>
      <c r="R255" s="39">
        <f t="shared" si="56"/>
        <v>3.5896470612164006</v>
      </c>
    </row>
    <row r="256" spans="2:18" customFormat="1" x14ac:dyDescent="0.25">
      <c r="B256" s="19" t="s">
        <v>1077</v>
      </c>
      <c r="C256" s="3" t="s">
        <v>725</v>
      </c>
      <c r="D256" s="3">
        <v>6.3</v>
      </c>
      <c r="E256" s="3">
        <v>20.098173513905753</v>
      </c>
      <c r="F256" s="3">
        <v>920</v>
      </c>
      <c r="G256" s="4">
        <v>14.7</v>
      </c>
      <c r="H256" s="7"/>
      <c r="I256" s="7"/>
      <c r="J256" s="38">
        <f t="shared" si="57"/>
        <v>18.700505111809161</v>
      </c>
      <c r="K256" s="37">
        <f t="shared" si="58"/>
        <v>16.251021932454602</v>
      </c>
      <c r="L256" s="37">
        <f t="shared" si="59"/>
        <v>23.452472253174182</v>
      </c>
      <c r="M256" s="39">
        <f t="shared" si="60"/>
        <v>164.75018246525605</v>
      </c>
      <c r="N256" s="117"/>
      <c r="O256" s="38">
        <f t="shared" si="53"/>
        <v>2.9683341447316129</v>
      </c>
      <c r="P256" s="37">
        <f t="shared" si="54"/>
        <v>2.5795272908658098</v>
      </c>
      <c r="Q256" s="37">
        <f t="shared" si="55"/>
        <v>3.7226146433609815</v>
      </c>
      <c r="R256" s="39">
        <f t="shared" si="56"/>
        <v>26.150822613532707</v>
      </c>
    </row>
    <row r="257" spans="2:18" customFormat="1" x14ac:dyDescent="0.25">
      <c r="B257" s="19" t="s">
        <v>1078</v>
      </c>
      <c r="C257" s="3" t="s">
        <v>726</v>
      </c>
      <c r="D257" s="3">
        <v>5.5</v>
      </c>
      <c r="E257" s="3">
        <v>6.1264694412592666</v>
      </c>
      <c r="F257" s="3">
        <v>840</v>
      </c>
      <c r="G257" s="4">
        <v>3.86</v>
      </c>
      <c r="H257" s="7"/>
      <c r="I257" s="7"/>
      <c r="J257" s="38">
        <f t="shared" ref="J257:J278" si="61">EXP(1.320543 -4.009256/D257+ 0.158326*E257-0.000237*F257)</f>
        <v>3.905894273583439</v>
      </c>
      <c r="K257" s="37">
        <f t="shared" ref="K257:K278" si="62">EXP(LN(E257) -3.662898 * (1/D257- 0.1))</f>
        <v>4.5399998630535983</v>
      </c>
      <c r="L257" s="37">
        <f t="shared" ref="L257:L278" si="63">EXP(-1.422144 -8.124784/D257+ 0.299527*E257+ 0.001255*F257)</f>
        <v>0.989916738205182</v>
      </c>
      <c r="M257" s="39">
        <f t="shared" ref="M257:M278" si="64">EXP(-1.137584 -12.265933/D257+ 0.4431*E257+ 0.001109*F257)</f>
        <v>1.3210739087389707</v>
      </c>
      <c r="N257" s="117"/>
      <c r="O257" s="38">
        <f t="shared" si="53"/>
        <v>0.71016259519698888</v>
      </c>
      <c r="P257" s="37">
        <f t="shared" si="54"/>
        <v>0.82545452055519963</v>
      </c>
      <c r="Q257" s="37">
        <f t="shared" si="55"/>
        <v>0.17998486149185128</v>
      </c>
      <c r="R257" s="39">
        <f t="shared" si="56"/>
        <v>0.2401952561343583</v>
      </c>
    </row>
    <row r="258" spans="2:18" customFormat="1" x14ac:dyDescent="0.25">
      <c r="B258" s="19" t="s">
        <v>1078</v>
      </c>
      <c r="C258" s="3" t="s">
        <v>727</v>
      </c>
      <c r="D258" s="3">
        <v>11.166666666666666</v>
      </c>
      <c r="E258" s="3">
        <v>4.7545224102564818</v>
      </c>
      <c r="F258" s="3">
        <v>540</v>
      </c>
      <c r="G258" s="4">
        <v>5.97</v>
      </c>
      <c r="H258" s="7"/>
      <c r="I258" s="7"/>
      <c r="J258" s="38">
        <f t="shared" si="61"/>
        <v>4.8855880862503351</v>
      </c>
      <c r="K258" s="37">
        <f t="shared" si="62"/>
        <v>4.9400000190280879</v>
      </c>
      <c r="L258" s="37">
        <f t="shared" si="63"/>
        <v>0.95320168785133863</v>
      </c>
      <c r="M258" s="39">
        <f t="shared" si="64"/>
        <v>1.5992953384885862</v>
      </c>
      <c r="N258" s="117"/>
      <c r="O258" s="38">
        <f t="shared" si="53"/>
        <v>0.43751535100749273</v>
      </c>
      <c r="P258" s="37">
        <f t="shared" si="54"/>
        <v>0.44238806140550041</v>
      </c>
      <c r="Q258" s="37">
        <f t="shared" si="55"/>
        <v>8.5361345180716891E-2</v>
      </c>
      <c r="R258" s="39">
        <f t="shared" si="56"/>
        <v>0.14322047807360475</v>
      </c>
    </row>
    <row r="259" spans="2:18" customFormat="1" x14ac:dyDescent="0.25">
      <c r="B259" s="19" t="s">
        <v>1078</v>
      </c>
      <c r="C259" s="3" t="s">
        <v>728</v>
      </c>
      <c r="D259" s="3">
        <v>11.166666666666666</v>
      </c>
      <c r="E259" s="3">
        <v>4.3310426814077259</v>
      </c>
      <c r="F259" s="3">
        <v>820</v>
      </c>
      <c r="G259" s="4">
        <v>4.68</v>
      </c>
      <c r="H259" s="7"/>
      <c r="I259" s="7"/>
      <c r="J259" s="38">
        <f t="shared" si="61"/>
        <v>4.2754177325457849</v>
      </c>
      <c r="K259" s="37">
        <f t="shared" si="62"/>
        <v>4.5000000173332779</v>
      </c>
      <c r="L259" s="37">
        <f t="shared" si="63"/>
        <v>1.1931866965631068</v>
      </c>
      <c r="M259" s="39">
        <f t="shared" si="64"/>
        <v>1.8083941670141583</v>
      </c>
      <c r="N259" s="117"/>
      <c r="O259" s="38">
        <f t="shared" si="53"/>
        <v>0.38287322978021959</v>
      </c>
      <c r="P259" s="37">
        <f t="shared" si="54"/>
        <v>0.40298507617909951</v>
      </c>
      <c r="Q259" s="37">
        <f t="shared" si="55"/>
        <v>0.10685253999072598</v>
      </c>
      <c r="R259" s="39">
        <f t="shared" si="56"/>
        <v>0.16194574629977537</v>
      </c>
    </row>
    <row r="260" spans="2:18" customFormat="1" x14ac:dyDescent="0.25">
      <c r="B260" s="19" t="s">
        <v>1078</v>
      </c>
      <c r="C260" s="3" t="s">
        <v>729</v>
      </c>
      <c r="D260" s="3">
        <v>10.333333333333334</v>
      </c>
      <c r="E260" s="3">
        <v>5.6923415055949587</v>
      </c>
      <c r="F260" s="3">
        <v>320</v>
      </c>
      <c r="G260" s="4">
        <v>5.26</v>
      </c>
      <c r="H260" s="7"/>
      <c r="I260" s="7"/>
      <c r="J260" s="38">
        <f t="shared" si="61"/>
        <v>5.8005697476758424</v>
      </c>
      <c r="K260" s="37">
        <f t="shared" si="62"/>
        <v>5.7600000068502393</v>
      </c>
      <c r="L260" s="37">
        <f t="shared" si="63"/>
        <v>0.90320706389899397</v>
      </c>
      <c r="M260" s="39">
        <f t="shared" si="64"/>
        <v>1.7376728003240818</v>
      </c>
      <c r="N260" s="117"/>
      <c r="O260" s="38">
        <f t="shared" si="53"/>
        <v>0.56134545945250081</v>
      </c>
      <c r="P260" s="37">
        <f t="shared" si="54"/>
        <v>0.55741935550163602</v>
      </c>
      <c r="Q260" s="37">
        <f t="shared" si="55"/>
        <v>8.7407135216031676E-2</v>
      </c>
      <c r="R260" s="39">
        <f t="shared" si="56"/>
        <v>0.16816188390233047</v>
      </c>
    </row>
    <row r="261" spans="2:18" customFormat="1" x14ac:dyDescent="0.25">
      <c r="B261" s="19" t="s">
        <v>1078</v>
      </c>
      <c r="C261" s="3" t="s">
        <v>730</v>
      </c>
      <c r="D261" s="3">
        <v>7.833333333333333</v>
      </c>
      <c r="E261" s="3">
        <v>10.04814843708488</v>
      </c>
      <c r="F261" s="3">
        <v>780</v>
      </c>
      <c r="G261" s="4">
        <v>8.3000000000000007</v>
      </c>
      <c r="H261" s="7"/>
      <c r="I261" s="7"/>
      <c r="J261" s="38">
        <f t="shared" si="61"/>
        <v>9.1590845575187547</v>
      </c>
      <c r="K261" s="37">
        <f t="shared" si="62"/>
        <v>9.0799999074073963</v>
      </c>
      <c r="L261" s="37">
        <f t="shared" si="63"/>
        <v>4.6146742888315444</v>
      </c>
      <c r="M261" s="39">
        <f t="shared" si="64"/>
        <v>13.652283339194078</v>
      </c>
      <c r="N261" s="117"/>
      <c r="O261" s="38">
        <f t="shared" si="53"/>
        <v>1.1692448371300539</v>
      </c>
      <c r="P261" s="37">
        <f t="shared" si="54"/>
        <v>1.1591489243498805</v>
      </c>
      <c r="Q261" s="37">
        <f t="shared" si="55"/>
        <v>0.58910735602104825</v>
      </c>
      <c r="R261" s="39">
        <f t="shared" si="56"/>
        <v>1.742844681599244</v>
      </c>
    </row>
    <row r="262" spans="2:18" customFormat="1" x14ac:dyDescent="0.25">
      <c r="B262" s="19" t="s">
        <v>1078</v>
      </c>
      <c r="C262" s="3" t="s">
        <v>731</v>
      </c>
      <c r="D262" s="3">
        <v>11.25</v>
      </c>
      <c r="E262" s="3">
        <v>9.4091584967080166</v>
      </c>
      <c r="F262" s="3">
        <v>500</v>
      </c>
      <c r="G262" s="4">
        <v>12.46</v>
      </c>
      <c r="H262" s="7"/>
      <c r="I262" s="7"/>
      <c r="J262" s="38">
        <f t="shared" si="61"/>
        <v>10.3333767460482</v>
      </c>
      <c r="K262" s="37">
        <f t="shared" si="62"/>
        <v>9.8000000401447309</v>
      </c>
      <c r="L262" s="37">
        <f t="shared" si="63"/>
        <v>3.6746209879704943</v>
      </c>
      <c r="M262" s="39">
        <f t="shared" si="64"/>
        <v>12.13154365745126</v>
      </c>
      <c r="N262" s="117"/>
      <c r="O262" s="38">
        <f t="shared" ref="O262:O325" si="65">J262/D262</f>
        <v>0.91852237742650666</v>
      </c>
      <c r="P262" s="37">
        <f t="shared" ref="P262:P325" si="66">K262/D262</f>
        <v>0.87111111467953162</v>
      </c>
      <c r="Q262" s="37">
        <f t="shared" ref="Q262:Q325" si="67">L262/D262</f>
        <v>0.3266329767084884</v>
      </c>
      <c r="R262" s="39">
        <f t="shared" ref="R262:R325" si="68">M262/D262</f>
        <v>1.0783594362178899</v>
      </c>
    </row>
    <row r="263" spans="2:18" customFormat="1" x14ac:dyDescent="0.25">
      <c r="B263" s="19" t="s">
        <v>1078</v>
      </c>
      <c r="C263" s="3" t="s">
        <v>732</v>
      </c>
      <c r="D263" s="3">
        <v>5.583333333333333</v>
      </c>
      <c r="E263" s="3">
        <v>4.2220619872028786</v>
      </c>
      <c r="F263" s="3">
        <v>710</v>
      </c>
      <c r="G263" s="4">
        <v>2.87</v>
      </c>
      <c r="H263" s="7"/>
      <c r="I263" s="7"/>
      <c r="J263" s="38">
        <f t="shared" si="61"/>
        <v>3.0121661909488946</v>
      </c>
      <c r="K263" s="37">
        <f t="shared" si="62"/>
        <v>3.1599999078419883</v>
      </c>
      <c r="L263" s="37">
        <f t="shared" si="63"/>
        <v>0.48594606763256798</v>
      </c>
      <c r="M263" s="39">
        <f t="shared" si="64"/>
        <v>0.50850417359955458</v>
      </c>
      <c r="N263" s="117"/>
      <c r="O263" s="38">
        <f t="shared" si="65"/>
        <v>0.53949245211024976</v>
      </c>
      <c r="P263" s="37">
        <f t="shared" si="66"/>
        <v>0.56597013274781882</v>
      </c>
      <c r="Q263" s="37">
        <f t="shared" si="67"/>
        <v>8.7035116590907707E-2</v>
      </c>
      <c r="R263" s="39">
        <f t="shared" si="68"/>
        <v>9.1075374376039631E-2</v>
      </c>
    </row>
    <row r="264" spans="2:18" customFormat="1" x14ac:dyDescent="0.25">
      <c r="B264" s="19" t="s">
        <v>1078</v>
      </c>
      <c r="C264" s="3" t="s">
        <v>733</v>
      </c>
      <c r="D264" s="3">
        <v>5.583333333333333</v>
      </c>
      <c r="E264" s="3">
        <v>4.7431392577753853</v>
      </c>
      <c r="F264" s="3">
        <v>760</v>
      </c>
      <c r="G264" s="4">
        <v>2.97</v>
      </c>
      <c r="H264" s="7"/>
      <c r="I264" s="7"/>
      <c r="J264" s="38">
        <f t="shared" si="61"/>
        <v>3.2326736964925264</v>
      </c>
      <c r="K264" s="37">
        <f t="shared" si="62"/>
        <v>3.5499998964680564</v>
      </c>
      <c r="L264" s="37">
        <f t="shared" si="63"/>
        <v>0.60481604709951786</v>
      </c>
      <c r="M264" s="39">
        <f t="shared" si="64"/>
        <v>0.67709579469578351</v>
      </c>
      <c r="N264" s="117"/>
      <c r="O264" s="38">
        <f t="shared" si="65"/>
        <v>0.57898633370015407</v>
      </c>
      <c r="P264" s="37">
        <f t="shared" si="66"/>
        <v>0.63582087697935341</v>
      </c>
      <c r="Q264" s="37">
        <f t="shared" si="67"/>
        <v>0.10832526216707783</v>
      </c>
      <c r="R264" s="39">
        <f t="shared" si="68"/>
        <v>0.12127088860222988</v>
      </c>
    </row>
    <row r="265" spans="2:18" customFormat="1" x14ac:dyDescent="0.25">
      <c r="B265" s="19" t="s">
        <v>1078</v>
      </c>
      <c r="C265" s="3" t="s">
        <v>734</v>
      </c>
      <c r="D265" s="3">
        <v>6.416666666666667</v>
      </c>
      <c r="E265" s="3">
        <v>7.533623754308282</v>
      </c>
      <c r="F265" s="3">
        <v>900</v>
      </c>
      <c r="G265" s="4">
        <v>6.64</v>
      </c>
      <c r="H265" s="7"/>
      <c r="I265" s="7"/>
      <c r="J265" s="38">
        <f t="shared" si="61"/>
        <v>5.3398224194873229</v>
      </c>
      <c r="K265" s="37">
        <f t="shared" si="62"/>
        <v>6.1399998735872003</v>
      </c>
      <c r="L265" s="37">
        <f t="shared" si="63"/>
        <v>2.0090854496655228</v>
      </c>
      <c r="M265" s="39">
        <f t="shared" si="64"/>
        <v>3.6222330906133737</v>
      </c>
      <c r="N265" s="117"/>
      <c r="O265" s="38">
        <f t="shared" si="65"/>
        <v>0.83218011732269959</v>
      </c>
      <c r="P265" s="37">
        <f t="shared" si="66"/>
        <v>0.95688309718242082</v>
      </c>
      <c r="Q265" s="37">
        <f t="shared" si="67"/>
        <v>0.31310422592189963</v>
      </c>
      <c r="R265" s="39">
        <f t="shared" si="68"/>
        <v>0.5645038582774089</v>
      </c>
    </row>
    <row r="266" spans="2:18" customFormat="1" x14ac:dyDescent="0.25">
      <c r="B266" s="19" t="s">
        <v>1078</v>
      </c>
      <c r="C266" s="3" t="s">
        <v>735</v>
      </c>
      <c r="D266" s="3">
        <v>6.416666666666667</v>
      </c>
      <c r="E266" s="3">
        <v>5.9630963267000414</v>
      </c>
      <c r="F266" s="3">
        <v>780</v>
      </c>
      <c r="G266" s="4">
        <v>4.37</v>
      </c>
      <c r="H266" s="7"/>
      <c r="I266" s="7"/>
      <c r="J266" s="38">
        <f t="shared" si="61"/>
        <v>4.28438523268259</v>
      </c>
      <c r="K266" s="37">
        <f t="shared" si="62"/>
        <v>4.859999899940358</v>
      </c>
      <c r="L266" s="37">
        <f t="shared" si="63"/>
        <v>1.0796795126497978</v>
      </c>
      <c r="M266" s="39">
        <f t="shared" si="64"/>
        <v>1.5810829257946399</v>
      </c>
      <c r="N266" s="117"/>
      <c r="O266" s="38">
        <f t="shared" si="65"/>
        <v>0.66769639989858542</v>
      </c>
      <c r="P266" s="37">
        <f t="shared" si="66"/>
        <v>0.75740258180888698</v>
      </c>
      <c r="Q266" s="37">
        <f t="shared" si="67"/>
        <v>0.1682617422311373</v>
      </c>
      <c r="R266" s="39">
        <f t="shared" si="68"/>
        <v>0.24640253389007374</v>
      </c>
    </row>
    <row r="267" spans="2:18" customFormat="1" x14ac:dyDescent="0.25">
      <c r="B267" s="19" t="s">
        <v>1078</v>
      </c>
      <c r="C267" s="3" t="s">
        <v>736</v>
      </c>
      <c r="D267" s="3">
        <v>6.416666666666667</v>
      </c>
      <c r="E267" s="3">
        <v>10.159349297340812</v>
      </c>
      <c r="F267" s="3">
        <v>1020</v>
      </c>
      <c r="G267" s="4">
        <v>8.51</v>
      </c>
      <c r="H267" s="7"/>
      <c r="I267" s="7"/>
      <c r="J267" s="38">
        <f t="shared" si="61"/>
        <v>7.8653970624150933</v>
      </c>
      <c r="K267" s="37">
        <f t="shared" si="62"/>
        <v>8.2799998295280162</v>
      </c>
      <c r="L267" s="37">
        <f t="shared" si="63"/>
        <v>5.1282030393343092</v>
      </c>
      <c r="M267" s="39">
        <f t="shared" si="64"/>
        <v>13.245126846670503</v>
      </c>
      <c r="N267" s="117"/>
      <c r="O267" s="38">
        <f t="shared" si="65"/>
        <v>1.2257761655711834</v>
      </c>
      <c r="P267" s="37">
        <f t="shared" si="66"/>
        <v>1.2903895838225479</v>
      </c>
      <c r="Q267" s="37">
        <f t="shared" si="67"/>
        <v>0.7992004736624897</v>
      </c>
      <c r="R267" s="39">
        <f t="shared" si="68"/>
        <v>2.0641756124681305</v>
      </c>
    </row>
    <row r="268" spans="2:18" customFormat="1" x14ac:dyDescent="0.25">
      <c r="B268" s="19" t="s">
        <v>1078</v>
      </c>
      <c r="C268" s="3" t="s">
        <v>737</v>
      </c>
      <c r="D268" s="3">
        <v>2.0833333333333335</v>
      </c>
      <c r="E268" s="3">
        <v>8.1254296865522679</v>
      </c>
      <c r="F268" s="3">
        <v>969</v>
      </c>
      <c r="G268" s="4">
        <v>2.0699999999999998</v>
      </c>
      <c r="H268" s="7"/>
      <c r="I268" s="7"/>
      <c r="J268" s="38">
        <f t="shared" si="61"/>
        <v>1.572888755832053</v>
      </c>
      <c r="K268" s="37">
        <f t="shared" si="62"/>
        <v>2.0199997170042665</v>
      </c>
      <c r="L268" s="37">
        <f t="shared" si="63"/>
        <v>0.18784093921481057</v>
      </c>
      <c r="M268" s="39">
        <f t="shared" si="64"/>
        <v>9.534694894864873E-2</v>
      </c>
      <c r="N268" s="117"/>
      <c r="O268" s="38">
        <f t="shared" si="65"/>
        <v>0.75498660279938534</v>
      </c>
      <c r="P268" s="37">
        <f t="shared" si="66"/>
        <v>0.9695998641620478</v>
      </c>
      <c r="Q268" s="37">
        <f t="shared" si="67"/>
        <v>9.0163650823109065E-2</v>
      </c>
      <c r="R268" s="39">
        <f t="shared" si="68"/>
        <v>4.5766535495351389E-2</v>
      </c>
    </row>
    <row r="269" spans="2:18" customFormat="1" x14ac:dyDescent="0.25">
      <c r="B269" s="19" t="s">
        <v>1078</v>
      </c>
      <c r="C269" s="3" t="s">
        <v>738</v>
      </c>
      <c r="D269" s="3">
        <v>1.8333333333333333</v>
      </c>
      <c r="E269" s="3">
        <v>11.042623197613459</v>
      </c>
      <c r="F269" s="3">
        <v>997</v>
      </c>
      <c r="G269" s="4">
        <v>2.02</v>
      </c>
      <c r="H269" s="7"/>
      <c r="I269" s="7"/>
      <c r="J269" s="38">
        <f t="shared" si="61"/>
        <v>1.9073626022261556</v>
      </c>
      <c r="K269" s="37">
        <f t="shared" si="62"/>
        <v>2.1599996452666153</v>
      </c>
      <c r="L269" s="37">
        <f t="shared" si="63"/>
        <v>0.27388538442540183</v>
      </c>
      <c r="M269" s="39">
        <f t="shared" si="64"/>
        <v>0.16050445653435094</v>
      </c>
      <c r="N269" s="117"/>
      <c r="O269" s="38">
        <f t="shared" si="65"/>
        <v>1.0403796012142668</v>
      </c>
      <c r="P269" s="37">
        <f t="shared" si="66"/>
        <v>1.1781816246908812</v>
      </c>
      <c r="Q269" s="37">
        <f t="shared" si="67"/>
        <v>0.149392027868401</v>
      </c>
      <c r="R269" s="39">
        <f t="shared" si="68"/>
        <v>8.754788538237325E-2</v>
      </c>
    </row>
    <row r="270" spans="2:18" customFormat="1" x14ac:dyDescent="0.25">
      <c r="B270" s="19" t="s">
        <v>1078</v>
      </c>
      <c r="C270" s="3" t="s">
        <v>739</v>
      </c>
      <c r="D270" s="3">
        <v>1.8333333333333333</v>
      </c>
      <c r="E270" s="3">
        <v>8.3330906537545975</v>
      </c>
      <c r="F270" s="3">
        <v>912</v>
      </c>
      <c r="G270" s="4">
        <v>1.5</v>
      </c>
      <c r="H270" s="7"/>
      <c r="I270" s="7"/>
      <c r="J270" s="38">
        <f t="shared" si="61"/>
        <v>1.2672852343296077</v>
      </c>
      <c r="K270" s="37">
        <f t="shared" si="62"/>
        <v>1.6299997323076767</v>
      </c>
      <c r="L270" s="37">
        <f t="shared" si="63"/>
        <v>0.10933937306002217</v>
      </c>
      <c r="M270" s="39">
        <f t="shared" si="64"/>
        <v>4.3968032622949314E-2</v>
      </c>
      <c r="N270" s="117"/>
      <c r="O270" s="38">
        <f t="shared" si="65"/>
        <v>0.69124649145251338</v>
      </c>
      <c r="P270" s="37">
        <f t="shared" si="66"/>
        <v>0.88909076307691459</v>
      </c>
      <c r="Q270" s="37">
        <f t="shared" si="67"/>
        <v>5.9639658032739372E-2</v>
      </c>
      <c r="R270" s="39">
        <f t="shared" si="68"/>
        <v>2.3982563248881445E-2</v>
      </c>
    </row>
    <row r="271" spans="2:18" customFormat="1" x14ac:dyDescent="0.25">
      <c r="B271" s="19" t="s">
        <v>1078</v>
      </c>
      <c r="C271" s="3" t="s">
        <v>740</v>
      </c>
      <c r="D271" s="3">
        <v>4.833333333333333</v>
      </c>
      <c r="E271" s="3">
        <v>4.0384168053487546</v>
      </c>
      <c r="F271" s="3">
        <v>760</v>
      </c>
      <c r="G271" s="4">
        <v>2.16</v>
      </c>
      <c r="H271" s="7"/>
      <c r="I271" s="7"/>
      <c r="J271" s="38">
        <f t="shared" si="61"/>
        <v>2.5865065368254911</v>
      </c>
      <c r="K271" s="37">
        <f t="shared" si="62"/>
        <v>2.7299998924101536</v>
      </c>
      <c r="L271" s="37">
        <f t="shared" si="63"/>
        <v>0.39073764742831796</v>
      </c>
      <c r="M271" s="39">
        <f t="shared" si="64"/>
        <v>0.35236040303356764</v>
      </c>
      <c r="N271" s="117"/>
      <c r="O271" s="38">
        <f t="shared" si="65"/>
        <v>0.53513928348113615</v>
      </c>
      <c r="P271" s="37">
        <f t="shared" si="66"/>
        <v>0.56482756394692835</v>
      </c>
      <c r="Q271" s="37">
        <f t="shared" si="67"/>
        <v>8.0842271881720967E-2</v>
      </c>
      <c r="R271" s="39">
        <f t="shared" si="68"/>
        <v>7.2902152351772623E-2</v>
      </c>
    </row>
    <row r="272" spans="2:18" customFormat="1" x14ac:dyDescent="0.25">
      <c r="B272" s="19" t="s">
        <v>1078</v>
      </c>
      <c r="C272" s="3" t="s">
        <v>741</v>
      </c>
      <c r="D272" s="3">
        <v>4.833333333333333</v>
      </c>
      <c r="E272" s="3">
        <v>5.4141412115664629</v>
      </c>
      <c r="F272" s="3">
        <v>840</v>
      </c>
      <c r="G272" s="4">
        <v>2.68</v>
      </c>
      <c r="H272" s="7"/>
      <c r="I272" s="7"/>
      <c r="J272" s="38">
        <f t="shared" si="61"/>
        <v>3.1555445497928662</v>
      </c>
      <c r="K272" s="37">
        <f t="shared" si="62"/>
        <v>3.6599998557586679</v>
      </c>
      <c r="L272" s="37">
        <f t="shared" si="63"/>
        <v>0.65229894441866632</v>
      </c>
      <c r="M272" s="39">
        <f t="shared" si="64"/>
        <v>0.7083639451563607</v>
      </c>
      <c r="N272" s="117"/>
      <c r="O272" s="38">
        <f t="shared" si="65"/>
        <v>0.65287128616404133</v>
      </c>
      <c r="P272" s="37">
        <f t="shared" si="66"/>
        <v>0.7572413494673107</v>
      </c>
      <c r="Q272" s="37">
        <f t="shared" si="67"/>
        <v>0.13495840229351719</v>
      </c>
      <c r="R272" s="39">
        <f t="shared" si="68"/>
        <v>0.14655805761855739</v>
      </c>
    </row>
    <row r="273" spans="2:18" customFormat="1" x14ac:dyDescent="0.25">
      <c r="B273" s="19" t="s">
        <v>1078</v>
      </c>
      <c r="C273" s="3" t="s">
        <v>742</v>
      </c>
      <c r="D273" s="3">
        <v>4.833333333333333</v>
      </c>
      <c r="E273" s="3">
        <v>10.414085827712537</v>
      </c>
      <c r="F273" s="3">
        <v>710</v>
      </c>
      <c r="G273" s="4">
        <v>4.7</v>
      </c>
      <c r="H273" s="7"/>
      <c r="I273" s="7"/>
      <c r="J273" s="38">
        <f t="shared" si="61"/>
        <v>7.182103533407429</v>
      </c>
      <c r="K273" s="37">
        <f t="shared" si="62"/>
        <v>7.0399997225521895</v>
      </c>
      <c r="L273" s="37">
        <f t="shared" si="63"/>
        <v>2.4774160275312953</v>
      </c>
      <c r="M273" s="39">
        <f t="shared" si="64"/>
        <v>5.6209921579245208</v>
      </c>
      <c r="N273" s="117"/>
      <c r="O273" s="38">
        <f t="shared" si="65"/>
        <v>1.4859524551877441</v>
      </c>
      <c r="P273" s="37">
        <f t="shared" si="66"/>
        <v>1.4565516667349359</v>
      </c>
      <c r="Q273" s="37">
        <f t="shared" si="67"/>
        <v>0.51256883328233704</v>
      </c>
      <c r="R273" s="39">
        <f t="shared" si="68"/>
        <v>1.1629638947430043</v>
      </c>
    </row>
    <row r="274" spans="2:18" customFormat="1" x14ac:dyDescent="0.25">
      <c r="B274" s="19" t="s">
        <v>1078</v>
      </c>
      <c r="C274" s="3" t="s">
        <v>743</v>
      </c>
      <c r="D274" s="3">
        <v>4.833333333333333</v>
      </c>
      <c r="E274" s="3">
        <v>12.529447011466649</v>
      </c>
      <c r="F274" s="3">
        <v>740</v>
      </c>
      <c r="G274" s="4">
        <v>6.47</v>
      </c>
      <c r="H274" s="7"/>
      <c r="I274" s="7"/>
      <c r="J274" s="38">
        <f t="shared" si="61"/>
        <v>9.9681896341627976</v>
      </c>
      <c r="K274" s="37">
        <f t="shared" si="62"/>
        <v>8.469999666195605</v>
      </c>
      <c r="L274" s="37">
        <f t="shared" si="63"/>
        <v>4.8475522261093671</v>
      </c>
      <c r="M274" s="39">
        <f t="shared" si="64"/>
        <v>14.836564813921383</v>
      </c>
      <c r="N274" s="117"/>
      <c r="O274" s="38">
        <f t="shared" si="65"/>
        <v>2.0623840622405791</v>
      </c>
      <c r="P274" s="37">
        <f t="shared" si="66"/>
        <v>1.75241372404047</v>
      </c>
      <c r="Q274" s="37">
        <f t="shared" si="67"/>
        <v>1.0029418398846968</v>
      </c>
      <c r="R274" s="39">
        <f t="shared" si="68"/>
        <v>3.0696340994320104</v>
      </c>
    </row>
    <row r="275" spans="2:18" customFormat="1" x14ac:dyDescent="0.25">
      <c r="B275" s="19" t="s">
        <v>1078</v>
      </c>
      <c r="C275" s="3" t="s">
        <v>744</v>
      </c>
      <c r="D275" s="3">
        <v>4</v>
      </c>
      <c r="E275" s="3">
        <v>9.1464035046371528</v>
      </c>
      <c r="F275" s="3">
        <v>770</v>
      </c>
      <c r="G275" s="4">
        <v>2.71</v>
      </c>
      <c r="H275" s="7"/>
      <c r="I275" s="7"/>
      <c r="J275" s="38">
        <f t="shared" si="61"/>
        <v>4.8736955115871368</v>
      </c>
      <c r="K275" s="37">
        <f t="shared" si="62"/>
        <v>5.2799997080085594</v>
      </c>
      <c r="L275" s="37">
        <f t="shared" si="63"/>
        <v>1.2873744091846426</v>
      </c>
      <c r="M275" s="39">
        <f t="shared" si="64"/>
        <v>2.0190642124370375</v>
      </c>
      <c r="N275" s="117"/>
      <c r="O275" s="38">
        <f t="shared" si="65"/>
        <v>1.2184238778967842</v>
      </c>
      <c r="P275" s="37">
        <f t="shared" si="66"/>
        <v>1.3199999270021399</v>
      </c>
      <c r="Q275" s="37">
        <f t="shared" si="67"/>
        <v>0.32184360229616066</v>
      </c>
      <c r="R275" s="39">
        <f t="shared" si="68"/>
        <v>0.50476605310925937</v>
      </c>
    </row>
    <row r="276" spans="2:18" customFormat="1" x14ac:dyDescent="0.25">
      <c r="B276" s="19" t="s">
        <v>1078</v>
      </c>
      <c r="C276" s="3" t="s">
        <v>745</v>
      </c>
      <c r="D276" s="3">
        <v>10.75</v>
      </c>
      <c r="E276" s="3">
        <v>11.794700882470567</v>
      </c>
      <c r="F276" s="3">
        <v>200</v>
      </c>
      <c r="G276" s="4">
        <v>18.670000000000002</v>
      </c>
      <c r="H276" s="7"/>
      <c r="I276" s="7"/>
      <c r="J276" s="38">
        <f t="shared" si="61"/>
        <v>15.920327716416512</v>
      </c>
      <c r="K276" s="37">
        <f t="shared" si="62"/>
        <v>12.100000031123123</v>
      </c>
      <c r="L276" s="37">
        <f t="shared" si="63"/>
        <v>4.9823093615073795</v>
      </c>
      <c r="M276" s="39">
        <f t="shared" si="64"/>
        <v>23.793940270295618</v>
      </c>
      <c r="N276" s="117"/>
      <c r="O276" s="38">
        <f t="shared" si="65"/>
        <v>1.4809607178061872</v>
      </c>
      <c r="P276" s="37">
        <f t="shared" si="66"/>
        <v>1.1255813982440115</v>
      </c>
      <c r="Q276" s="37">
        <f t="shared" si="67"/>
        <v>0.46347063827975621</v>
      </c>
      <c r="R276" s="39">
        <f t="shared" si="68"/>
        <v>2.2133897925856387</v>
      </c>
    </row>
    <row r="277" spans="2:18" customFormat="1" x14ac:dyDescent="0.25">
      <c r="B277" s="19" t="s">
        <v>1078</v>
      </c>
      <c r="C277" s="15" t="s">
        <v>746</v>
      </c>
      <c r="D277" s="15">
        <v>8.25</v>
      </c>
      <c r="E277" s="15">
        <v>11.888756259751268</v>
      </c>
      <c r="F277" s="15">
        <v>220</v>
      </c>
      <c r="G277" s="32">
        <v>16.13</v>
      </c>
      <c r="H277" s="7"/>
      <c r="I277" s="7"/>
      <c r="J277" s="38">
        <f t="shared" si="61"/>
        <v>14.364096569139223</v>
      </c>
      <c r="K277" s="37">
        <f t="shared" si="62"/>
        <v>10.999999913975584</v>
      </c>
      <c r="L277" s="37">
        <f t="shared" si="63"/>
        <v>4.1792725202987349</v>
      </c>
      <c r="M277" s="39">
        <f t="shared" si="64"/>
        <v>17.948815809097294</v>
      </c>
      <c r="N277" s="117"/>
      <c r="O277" s="38">
        <f t="shared" si="65"/>
        <v>1.7411026144411179</v>
      </c>
      <c r="P277" s="37">
        <f t="shared" si="66"/>
        <v>1.3333333229061315</v>
      </c>
      <c r="Q277" s="37">
        <f t="shared" si="67"/>
        <v>0.50657848730893751</v>
      </c>
      <c r="R277" s="39">
        <f t="shared" si="68"/>
        <v>2.1756140374663389</v>
      </c>
    </row>
    <row r="278" spans="2:18" customFormat="1" x14ac:dyDescent="0.25">
      <c r="B278" s="19" t="s">
        <v>1078</v>
      </c>
      <c r="C278" s="3" t="s">
        <v>747</v>
      </c>
      <c r="D278" s="3">
        <v>12.666666666666666</v>
      </c>
      <c r="E278" s="3">
        <v>14.442240488494255</v>
      </c>
      <c r="F278" s="3">
        <v>240</v>
      </c>
      <c r="G278" s="4">
        <v>22.32</v>
      </c>
      <c r="H278" s="7"/>
      <c r="I278" s="7"/>
      <c r="J278" s="38">
        <f t="shared" si="61"/>
        <v>25.373998206987434</v>
      </c>
      <c r="K278" s="37">
        <f t="shared" si="62"/>
        <v>15.600000121080976</v>
      </c>
      <c r="L278" s="37">
        <f t="shared" si="63"/>
        <v>12.980739098760621</v>
      </c>
      <c r="M278" s="39">
        <f t="shared" si="64"/>
        <v>95.542352310798748</v>
      </c>
      <c r="N278" s="117"/>
      <c r="O278" s="38">
        <f t="shared" si="65"/>
        <v>2.0032103847621658</v>
      </c>
      <c r="P278" s="37">
        <f t="shared" si="66"/>
        <v>1.2315789569274456</v>
      </c>
      <c r="Q278" s="37">
        <f t="shared" si="67"/>
        <v>1.0247951920074174</v>
      </c>
      <c r="R278" s="39">
        <f t="shared" si="68"/>
        <v>7.5428172876946382</v>
      </c>
    </row>
    <row r="279" spans="2:18" customFormat="1" x14ac:dyDescent="0.25">
      <c r="B279" s="19" t="s">
        <v>1082</v>
      </c>
      <c r="C279" s="3" t="s">
        <v>748</v>
      </c>
      <c r="D279" s="3">
        <v>7.416666666666667</v>
      </c>
      <c r="E279" s="3">
        <v>10.939381677700315</v>
      </c>
      <c r="F279" s="3">
        <v>891</v>
      </c>
      <c r="G279" s="4">
        <v>7.43</v>
      </c>
      <c r="H279" s="7"/>
      <c r="I279" s="7"/>
      <c r="J279" s="38">
        <f t="shared" ref="J279:J342" si="69">EXP(2.293225 -4.118555/D279+ 0.052407*E279-0.000131*F279)</f>
        <v>8.9754528422850086</v>
      </c>
      <c r="K279" s="37">
        <f t="shared" ref="K279:K342" si="70">EXP(LN(E279) -3.891677 * (1/D279- 0.1))</f>
        <v>9.5526297359606716</v>
      </c>
      <c r="L279" s="37">
        <f t="shared" ref="L279:L342" si="71">EXP(0.613447 -7.899548/D279+ 0.09739*E279+ 0.001207*F279)</f>
        <v>5.4149453392767466</v>
      </c>
      <c r="M279" s="39">
        <f t="shared" ref="M279:M342" si="72">EXP(1.605596 -12.336335/D279+ 0.166684*E279+ 0.001142*F279)</f>
        <v>16.170875702963677</v>
      </c>
      <c r="N279" s="117"/>
      <c r="O279" s="38">
        <f t="shared" si="65"/>
        <v>1.2101734169373044</v>
      </c>
      <c r="P279" s="37">
        <f t="shared" si="66"/>
        <v>1.287995020578967</v>
      </c>
      <c r="Q279" s="37">
        <f t="shared" si="67"/>
        <v>0.73010498956540404</v>
      </c>
      <c r="R279" s="39">
        <f t="shared" si="68"/>
        <v>2.1803427914108329</v>
      </c>
    </row>
    <row r="280" spans="2:18" customFormat="1" x14ac:dyDescent="0.25">
      <c r="B280" s="19" t="s">
        <v>1082</v>
      </c>
      <c r="C280" s="3" t="s">
        <v>749</v>
      </c>
      <c r="D280" s="3">
        <v>10.666666666666666</v>
      </c>
      <c r="E280" s="3">
        <v>13.162001204006367</v>
      </c>
      <c r="F280" s="3">
        <v>852</v>
      </c>
      <c r="G280" s="4">
        <v>11.15</v>
      </c>
      <c r="H280" s="7"/>
      <c r="I280" s="7"/>
      <c r="J280" s="38">
        <f t="shared" si="69"/>
        <v>12.004474626778874</v>
      </c>
      <c r="K280" s="37">
        <f t="shared" si="70"/>
        <v>13.48606544026544</v>
      </c>
      <c r="L280" s="37">
        <f t="shared" si="71"/>
        <v>8.8735564823649327</v>
      </c>
      <c r="M280" s="39">
        <f t="shared" si="72"/>
        <v>37.186418570973601</v>
      </c>
      <c r="N280" s="117"/>
      <c r="O280" s="38">
        <f t="shared" si="65"/>
        <v>1.1254194962605195</v>
      </c>
      <c r="P280" s="37">
        <f t="shared" si="66"/>
        <v>1.2643186350248852</v>
      </c>
      <c r="Q280" s="37">
        <f t="shared" si="67"/>
        <v>0.83189592022171244</v>
      </c>
      <c r="R280" s="39">
        <f t="shared" si="68"/>
        <v>3.4862267410287751</v>
      </c>
    </row>
    <row r="281" spans="2:18" customFormat="1" x14ac:dyDescent="0.25">
      <c r="B281" s="19" t="s">
        <v>1082</v>
      </c>
      <c r="C281" s="3" t="s">
        <v>750</v>
      </c>
      <c r="D281" s="3">
        <v>10.666666666666666</v>
      </c>
      <c r="E281" s="3">
        <v>17.549334938675152</v>
      </c>
      <c r="F281" s="3">
        <v>1140</v>
      </c>
      <c r="G281" s="4">
        <v>13.23</v>
      </c>
      <c r="H281" s="7"/>
      <c r="I281" s="7"/>
      <c r="J281" s="38">
        <f t="shared" si="69"/>
        <v>14.548362799003877</v>
      </c>
      <c r="K281" s="37">
        <f t="shared" si="70"/>
        <v>17.981420587020583</v>
      </c>
      <c r="L281" s="37">
        <f t="shared" si="71"/>
        <v>19.258915659929635</v>
      </c>
      <c r="M281" s="39">
        <f t="shared" si="72"/>
        <v>107.35466063092579</v>
      </c>
      <c r="N281" s="117"/>
      <c r="O281" s="38">
        <f t="shared" si="65"/>
        <v>1.3639090124066136</v>
      </c>
      <c r="P281" s="37">
        <f t="shared" si="66"/>
        <v>1.6857581800331798</v>
      </c>
      <c r="Q281" s="37">
        <f t="shared" si="67"/>
        <v>1.8055233431184032</v>
      </c>
      <c r="R281" s="39">
        <f t="shared" si="68"/>
        <v>10.064499434149294</v>
      </c>
    </row>
    <row r="282" spans="2:18" customFormat="1" x14ac:dyDescent="0.25">
      <c r="B282" s="19" t="s">
        <v>1082</v>
      </c>
      <c r="C282" s="3" t="s">
        <v>751</v>
      </c>
      <c r="D282" s="3">
        <v>5</v>
      </c>
      <c r="E282" s="3">
        <v>12.853432157313053</v>
      </c>
      <c r="F282" s="3">
        <v>539</v>
      </c>
      <c r="G282" s="4">
        <v>5.72</v>
      </c>
      <c r="H282" s="7"/>
      <c r="I282" s="7"/>
      <c r="J282" s="38">
        <f t="shared" si="69"/>
        <v>7.9447776946977955</v>
      </c>
      <c r="K282" s="37">
        <f t="shared" si="70"/>
        <v>8.7097507126358877</v>
      </c>
      <c r="L282" s="37">
        <f t="shared" si="71"/>
        <v>2.5495226811862395</v>
      </c>
      <c r="M282" s="39">
        <f t="shared" si="72"/>
        <v>6.661392093176902</v>
      </c>
      <c r="N282" s="117"/>
      <c r="O282" s="38">
        <f t="shared" si="65"/>
        <v>1.5889555389395591</v>
      </c>
      <c r="P282" s="37">
        <f t="shared" si="66"/>
        <v>1.7419501425271775</v>
      </c>
      <c r="Q282" s="37">
        <f t="shared" si="67"/>
        <v>0.50990453623724785</v>
      </c>
      <c r="R282" s="39">
        <f t="shared" si="68"/>
        <v>1.3322784186353804</v>
      </c>
    </row>
    <row r="283" spans="2:18" customFormat="1" x14ac:dyDescent="0.25">
      <c r="B283" s="19" t="s">
        <v>1082</v>
      </c>
      <c r="C283" s="3" t="s">
        <v>752</v>
      </c>
      <c r="D283" s="3">
        <v>5</v>
      </c>
      <c r="E283" s="3">
        <v>13.151963484837745</v>
      </c>
      <c r="F283" s="3">
        <v>539</v>
      </c>
      <c r="G283" s="4">
        <v>5.43</v>
      </c>
      <c r="H283" s="7"/>
      <c r="I283" s="7"/>
      <c r="J283" s="38">
        <f t="shared" si="69"/>
        <v>8.0700521974778461</v>
      </c>
      <c r="K283" s="37">
        <f t="shared" si="70"/>
        <v>8.9120416969293679</v>
      </c>
      <c r="L283" s="37">
        <f t="shared" si="71"/>
        <v>2.6247354861580492</v>
      </c>
      <c r="M283" s="39">
        <f t="shared" si="72"/>
        <v>7.0012512389748442</v>
      </c>
      <c r="N283" s="117"/>
      <c r="O283" s="38">
        <f t="shared" si="65"/>
        <v>1.6140104394955692</v>
      </c>
      <c r="P283" s="37">
        <f t="shared" si="66"/>
        <v>1.7824083393858736</v>
      </c>
      <c r="Q283" s="37">
        <f t="shared" si="67"/>
        <v>0.52494709723160982</v>
      </c>
      <c r="R283" s="39">
        <f t="shared" si="68"/>
        <v>1.4002502477949688</v>
      </c>
    </row>
    <row r="284" spans="2:18" customFormat="1" x14ac:dyDescent="0.25">
      <c r="B284" s="19" t="s">
        <v>1082</v>
      </c>
      <c r="C284" s="3" t="s">
        <v>753</v>
      </c>
      <c r="D284" s="3">
        <v>5</v>
      </c>
      <c r="E284" s="3">
        <v>13.682685844881641</v>
      </c>
      <c r="F284" s="3">
        <v>870</v>
      </c>
      <c r="G284" s="4">
        <v>6.95</v>
      </c>
      <c r="H284" s="7"/>
      <c r="I284" s="7"/>
      <c r="J284" s="38">
        <f t="shared" si="69"/>
        <v>7.9455539215413138</v>
      </c>
      <c r="K284" s="37">
        <f t="shared" si="70"/>
        <v>9.2716701134511101</v>
      </c>
      <c r="L284" s="37">
        <f t="shared" si="71"/>
        <v>4.1213639913506075</v>
      </c>
      <c r="M284" s="39">
        <f t="shared" si="72"/>
        <v>11.162431475471719</v>
      </c>
      <c r="N284" s="117"/>
      <c r="O284" s="38">
        <f t="shared" si="65"/>
        <v>1.5891107843082628</v>
      </c>
      <c r="P284" s="37">
        <f t="shared" si="66"/>
        <v>1.8543340226902221</v>
      </c>
      <c r="Q284" s="37">
        <f t="shared" si="67"/>
        <v>0.82427279827012145</v>
      </c>
      <c r="R284" s="39">
        <f t="shared" si="68"/>
        <v>2.2324862950943438</v>
      </c>
    </row>
    <row r="285" spans="2:18" customFormat="1" x14ac:dyDescent="0.25">
      <c r="B285" s="19" t="s">
        <v>1082</v>
      </c>
      <c r="C285" s="3" t="s">
        <v>754</v>
      </c>
      <c r="D285" s="3">
        <v>5</v>
      </c>
      <c r="E285" s="3">
        <v>11.8914978797335</v>
      </c>
      <c r="F285" s="3">
        <v>504</v>
      </c>
      <c r="G285" s="4">
        <v>6.25</v>
      </c>
      <c r="H285" s="7"/>
      <c r="I285" s="7"/>
      <c r="J285" s="38">
        <f t="shared" si="69"/>
        <v>7.5889081657738471</v>
      </c>
      <c r="K285" s="37">
        <f t="shared" si="70"/>
        <v>8.0579242076902364</v>
      </c>
      <c r="L285" s="37">
        <f t="shared" si="71"/>
        <v>2.225492809495611</v>
      </c>
      <c r="M285" s="39">
        <f t="shared" si="72"/>
        <v>5.4522012847471784</v>
      </c>
      <c r="N285" s="117"/>
      <c r="O285" s="38">
        <f t="shared" si="65"/>
        <v>1.5177816331547693</v>
      </c>
      <c r="P285" s="37">
        <f t="shared" si="66"/>
        <v>1.6115848415380474</v>
      </c>
      <c r="Q285" s="37">
        <f t="shared" si="67"/>
        <v>0.44509856189912222</v>
      </c>
      <c r="R285" s="39">
        <f t="shared" si="68"/>
        <v>1.0904402569494356</v>
      </c>
    </row>
    <row r="286" spans="2:18" customFormat="1" x14ac:dyDescent="0.25">
      <c r="B286" s="19" t="s">
        <v>1082</v>
      </c>
      <c r="C286" s="3" t="s">
        <v>755</v>
      </c>
      <c r="D286" s="3">
        <v>5.916666666666667</v>
      </c>
      <c r="E286" s="3">
        <v>26.697027267586932</v>
      </c>
      <c r="F286" s="3">
        <v>1100</v>
      </c>
      <c r="G286" s="4">
        <v>11.98</v>
      </c>
      <c r="H286" s="7"/>
      <c r="I286" s="7"/>
      <c r="J286" s="38">
        <f t="shared" si="69"/>
        <v>17.324857244659526</v>
      </c>
      <c r="K286" s="37">
        <f t="shared" si="70"/>
        <v>20.408912558477169</v>
      </c>
      <c r="L286" s="37">
        <f t="shared" si="71"/>
        <v>24.681046782779916</v>
      </c>
      <c r="M286" s="39">
        <f t="shared" si="72"/>
        <v>186.18651253855191</v>
      </c>
      <c r="N286" s="117"/>
      <c r="O286" s="38">
        <f t="shared" si="65"/>
        <v>2.9281448864213284</v>
      </c>
      <c r="P286" s="37">
        <f t="shared" si="66"/>
        <v>3.449393671855296</v>
      </c>
      <c r="Q286" s="37">
        <f t="shared" si="67"/>
        <v>4.1714445266670275</v>
      </c>
      <c r="R286" s="39">
        <f t="shared" si="68"/>
        <v>31.468142964262292</v>
      </c>
    </row>
    <row r="287" spans="2:18" customFormat="1" x14ac:dyDescent="0.25">
      <c r="B287" s="19" t="s">
        <v>1082</v>
      </c>
      <c r="C287" s="3" t="s">
        <v>756</v>
      </c>
      <c r="D287" s="3">
        <v>5.916666666666667</v>
      </c>
      <c r="E287" s="3">
        <v>17.700011470360494</v>
      </c>
      <c r="F287" s="3">
        <v>980</v>
      </c>
      <c r="G287" s="4">
        <v>12.28</v>
      </c>
      <c r="H287" s="7"/>
      <c r="I287" s="7"/>
      <c r="J287" s="38">
        <f t="shared" si="69"/>
        <v>10.983077710536149</v>
      </c>
      <c r="K287" s="37">
        <f t="shared" si="70"/>
        <v>13.531019119166579</v>
      </c>
      <c r="L287" s="37">
        <f t="shared" si="71"/>
        <v>8.8904373483792245</v>
      </c>
      <c r="M287" s="39">
        <f t="shared" si="72"/>
        <v>36.235900203343242</v>
      </c>
      <c r="N287" s="117"/>
      <c r="O287" s="38">
        <f t="shared" si="65"/>
        <v>1.8562948243159687</v>
      </c>
      <c r="P287" s="37">
        <f t="shared" si="66"/>
        <v>2.2869328088732246</v>
      </c>
      <c r="Q287" s="37">
        <f t="shared" si="67"/>
        <v>1.5026091293035309</v>
      </c>
      <c r="R287" s="39">
        <f t="shared" si="68"/>
        <v>6.124377499156604</v>
      </c>
    </row>
    <row r="288" spans="2:18" customFormat="1" x14ac:dyDescent="0.25">
      <c r="B288" s="19" t="s">
        <v>1082</v>
      </c>
      <c r="C288" s="3" t="s">
        <v>757</v>
      </c>
      <c r="D288" s="3">
        <v>12.666666666666666</v>
      </c>
      <c r="E288" s="3">
        <v>25.368123018075519</v>
      </c>
      <c r="F288" s="3">
        <v>260</v>
      </c>
      <c r="G288" s="4">
        <v>29.61</v>
      </c>
      <c r="H288" s="7"/>
      <c r="I288" s="7"/>
      <c r="J288" s="38">
        <f t="shared" si="69"/>
        <v>26.140429637037617</v>
      </c>
      <c r="K288" s="37">
        <f t="shared" si="70"/>
        <v>27.53405022287475</v>
      </c>
      <c r="L288" s="37">
        <f t="shared" si="71"/>
        <v>16.026121334246138</v>
      </c>
      <c r="M288" s="39">
        <f t="shared" si="72"/>
        <v>173.65230152794788</v>
      </c>
      <c r="N288" s="117"/>
      <c r="O288" s="38">
        <f t="shared" si="65"/>
        <v>2.0637181292398119</v>
      </c>
      <c r="P288" s="37">
        <f t="shared" si="66"/>
        <v>2.1737408070690591</v>
      </c>
      <c r="Q288" s="37">
        <f t="shared" si="67"/>
        <v>1.2652201053352214</v>
      </c>
      <c r="R288" s="39">
        <f t="shared" si="68"/>
        <v>13.709392225890623</v>
      </c>
    </row>
    <row r="289" spans="2:18" customFormat="1" x14ac:dyDescent="0.25">
      <c r="B289" s="19" t="s">
        <v>1082</v>
      </c>
      <c r="C289" s="3" t="s">
        <v>758</v>
      </c>
      <c r="D289" s="3">
        <v>12.666666666666666</v>
      </c>
      <c r="E289" s="3">
        <v>25.885839814362765</v>
      </c>
      <c r="F289" s="3">
        <v>220</v>
      </c>
      <c r="G289" s="4">
        <v>30.3</v>
      </c>
      <c r="H289" s="7"/>
      <c r="I289" s="7"/>
      <c r="J289" s="38">
        <f t="shared" si="69"/>
        <v>27.000493083891911</v>
      </c>
      <c r="K289" s="37">
        <f t="shared" si="70"/>
        <v>28.095969615178305</v>
      </c>
      <c r="L289" s="37">
        <f t="shared" si="71"/>
        <v>16.060461003879794</v>
      </c>
      <c r="M289" s="39">
        <f t="shared" si="72"/>
        <v>180.85039443583725</v>
      </c>
      <c r="N289" s="117"/>
      <c r="O289" s="38">
        <f t="shared" si="65"/>
        <v>2.1316178750440984</v>
      </c>
      <c r="P289" s="37">
        <f t="shared" si="66"/>
        <v>2.2181028643561822</v>
      </c>
      <c r="Q289" s="37">
        <f t="shared" si="67"/>
        <v>1.2679311318852471</v>
      </c>
      <c r="R289" s="39">
        <f t="shared" si="68"/>
        <v>14.27766271861873</v>
      </c>
    </row>
    <row r="290" spans="2:18" customFormat="1" x14ac:dyDescent="0.25">
      <c r="B290" s="19" t="s">
        <v>1082</v>
      </c>
      <c r="C290" s="3" t="s">
        <v>759</v>
      </c>
      <c r="D290" s="3">
        <v>12.666666666666666</v>
      </c>
      <c r="E290" s="3">
        <v>21.537018725549828</v>
      </c>
      <c r="F290" s="3">
        <v>280</v>
      </c>
      <c r="G290" s="4">
        <v>23.48</v>
      </c>
      <c r="H290" s="7"/>
      <c r="I290" s="7"/>
      <c r="J290" s="38">
        <f t="shared" si="69"/>
        <v>21.329401252251653</v>
      </c>
      <c r="K290" s="37">
        <f t="shared" si="70"/>
        <v>23.375846719828356</v>
      </c>
      <c r="L290" s="37">
        <f t="shared" si="71"/>
        <v>11.305040942664315</v>
      </c>
      <c r="M290" s="39">
        <f t="shared" si="72"/>
        <v>93.813732295821922</v>
      </c>
      <c r="N290" s="117"/>
      <c r="O290" s="38">
        <f t="shared" si="65"/>
        <v>1.6839000988619728</v>
      </c>
      <c r="P290" s="37">
        <f t="shared" si="66"/>
        <v>1.8454615831443439</v>
      </c>
      <c r="Q290" s="37">
        <f t="shared" si="67"/>
        <v>0.8925032323156038</v>
      </c>
      <c r="R290" s="39">
        <f t="shared" si="68"/>
        <v>7.4063472865122577</v>
      </c>
    </row>
    <row r="291" spans="2:18" customFormat="1" x14ac:dyDescent="0.25">
      <c r="B291" s="19" t="s">
        <v>1082</v>
      </c>
      <c r="C291" s="3" t="s">
        <v>760</v>
      </c>
      <c r="D291" s="3">
        <v>12.666666666666666</v>
      </c>
      <c r="E291" s="3">
        <v>23.090169114411587</v>
      </c>
      <c r="F291" s="3">
        <v>280</v>
      </c>
      <c r="G291" s="4">
        <v>24.23</v>
      </c>
      <c r="H291" s="7"/>
      <c r="I291" s="7"/>
      <c r="J291" s="38">
        <f t="shared" si="69"/>
        <v>23.138141749025984</v>
      </c>
      <c r="K291" s="37">
        <f t="shared" si="70"/>
        <v>25.061604896739048</v>
      </c>
      <c r="L291" s="37">
        <f t="shared" si="71"/>
        <v>13.15116100048448</v>
      </c>
      <c r="M291" s="39">
        <f t="shared" si="72"/>
        <v>121.53430449544773</v>
      </c>
      <c r="N291" s="117"/>
      <c r="O291" s="38">
        <f t="shared" si="65"/>
        <v>1.8266954012388936</v>
      </c>
      <c r="P291" s="37">
        <f t="shared" si="66"/>
        <v>1.9785477550057144</v>
      </c>
      <c r="Q291" s="37">
        <f t="shared" si="67"/>
        <v>1.0382495526698274</v>
      </c>
      <c r="R291" s="39">
        <f t="shared" si="68"/>
        <v>9.5948135127985061</v>
      </c>
    </row>
    <row r="292" spans="2:18" customFormat="1" x14ac:dyDescent="0.25">
      <c r="B292" s="19" t="s">
        <v>1082</v>
      </c>
      <c r="C292" s="3" t="s">
        <v>761</v>
      </c>
      <c r="D292" s="3">
        <v>12.666666666666666</v>
      </c>
      <c r="E292" s="3">
        <v>24.43623278475846</v>
      </c>
      <c r="F292" s="3">
        <v>240</v>
      </c>
      <c r="G292" s="4">
        <v>24.49</v>
      </c>
      <c r="H292" s="7"/>
      <c r="I292" s="7"/>
      <c r="J292" s="38">
        <f t="shared" si="69"/>
        <v>24.9597760873963</v>
      </c>
      <c r="K292" s="37">
        <f t="shared" si="70"/>
        <v>26.522595316728331</v>
      </c>
      <c r="L292" s="37">
        <f t="shared" si="71"/>
        <v>14.286616423613061</v>
      </c>
      <c r="M292" s="39">
        <f t="shared" si="72"/>
        <v>145.31209973762992</v>
      </c>
      <c r="N292" s="117"/>
      <c r="O292" s="38">
        <f t="shared" si="65"/>
        <v>1.9705086384786554</v>
      </c>
      <c r="P292" s="37">
        <f t="shared" si="66"/>
        <v>2.0938891039522369</v>
      </c>
      <c r="Q292" s="37">
        <f t="shared" si="67"/>
        <v>1.1278907702852417</v>
      </c>
      <c r="R292" s="39">
        <f t="shared" si="68"/>
        <v>11.472007874023415</v>
      </c>
    </row>
    <row r="293" spans="2:18" customFormat="1" x14ac:dyDescent="0.25">
      <c r="B293" s="19" t="s">
        <v>1082</v>
      </c>
      <c r="C293" s="3" t="s">
        <v>762</v>
      </c>
      <c r="D293" s="3">
        <v>12.666666666666666</v>
      </c>
      <c r="E293" s="3">
        <v>21.433475366292374</v>
      </c>
      <c r="F293" s="3">
        <v>280</v>
      </c>
      <c r="G293" s="4">
        <v>22.94</v>
      </c>
      <c r="H293" s="7"/>
      <c r="I293" s="7"/>
      <c r="J293" s="38">
        <f t="shared" si="69"/>
        <v>21.213972920147672</v>
      </c>
      <c r="K293" s="37">
        <f t="shared" si="70"/>
        <v>23.263462841367641</v>
      </c>
      <c r="L293" s="37">
        <f t="shared" si="71"/>
        <v>11.191612788615947</v>
      </c>
      <c r="M293" s="39">
        <f t="shared" si="72"/>
        <v>92.208491382373879</v>
      </c>
      <c r="N293" s="117"/>
      <c r="O293" s="38">
        <f t="shared" si="65"/>
        <v>1.674787335801132</v>
      </c>
      <c r="P293" s="37">
        <f t="shared" si="66"/>
        <v>1.8365891716869192</v>
      </c>
      <c r="Q293" s="37">
        <f t="shared" si="67"/>
        <v>0.8835483780486274</v>
      </c>
      <c r="R293" s="39">
        <f t="shared" si="68"/>
        <v>7.2796177407137277</v>
      </c>
    </row>
    <row r="294" spans="2:18" customFormat="1" x14ac:dyDescent="0.25">
      <c r="B294" s="19" t="s">
        <v>1082</v>
      </c>
      <c r="C294" s="3" t="s">
        <v>763</v>
      </c>
      <c r="D294" s="3">
        <v>13.583333333333334</v>
      </c>
      <c r="E294" s="3">
        <v>23.123443537207805</v>
      </c>
      <c r="F294" s="3">
        <v>240</v>
      </c>
      <c r="G294" s="4">
        <v>24.25</v>
      </c>
      <c r="H294" s="7"/>
      <c r="I294" s="7"/>
      <c r="J294" s="38">
        <f t="shared" si="69"/>
        <v>23.817218902478473</v>
      </c>
      <c r="K294" s="37">
        <f t="shared" si="70"/>
        <v>25.623524271960282</v>
      </c>
      <c r="L294" s="37">
        <f t="shared" si="71"/>
        <v>13.112386923733606</v>
      </c>
      <c r="M294" s="39">
        <f t="shared" si="72"/>
        <v>124.6846339353885</v>
      </c>
      <c r="N294" s="117"/>
      <c r="O294" s="38">
        <f t="shared" si="65"/>
        <v>1.7534148885260226</v>
      </c>
      <c r="P294" s="37">
        <f t="shared" si="66"/>
        <v>1.8863944249295912</v>
      </c>
      <c r="Q294" s="37">
        <f t="shared" si="67"/>
        <v>0.96532909867977468</v>
      </c>
      <c r="R294" s="39">
        <f t="shared" si="68"/>
        <v>9.179236854139031</v>
      </c>
    </row>
    <row r="295" spans="2:18" customFormat="1" x14ac:dyDescent="0.25">
      <c r="B295" s="19" t="s">
        <v>1082</v>
      </c>
      <c r="C295" s="3" t="s">
        <v>764</v>
      </c>
      <c r="D295" s="3">
        <v>9.4166666666666661</v>
      </c>
      <c r="E295" s="3">
        <v>21.298332435589987</v>
      </c>
      <c r="F295" s="3">
        <v>180</v>
      </c>
      <c r="G295" s="4">
        <v>17.88</v>
      </c>
      <c r="H295" s="7"/>
      <c r="I295" s="7"/>
      <c r="J295" s="38">
        <f t="shared" si="69"/>
        <v>19.076515725670131</v>
      </c>
      <c r="K295" s="37">
        <f t="shared" si="70"/>
        <v>20.791017586118723</v>
      </c>
      <c r="L295" s="37">
        <f t="shared" si="71"/>
        <v>7.8936729233392366</v>
      </c>
      <c r="M295" s="39">
        <f t="shared" si="72"/>
        <v>57.46602877849044</v>
      </c>
      <c r="N295" s="117"/>
      <c r="O295" s="38">
        <f t="shared" si="65"/>
        <v>2.0258246788322265</v>
      </c>
      <c r="P295" s="37">
        <f t="shared" si="66"/>
        <v>2.2078956728621653</v>
      </c>
      <c r="Q295" s="37">
        <f t="shared" si="67"/>
        <v>0.83826615115106939</v>
      </c>
      <c r="R295" s="39">
        <f t="shared" si="68"/>
        <v>6.1025871269193388</v>
      </c>
    </row>
    <row r="296" spans="2:18" customFormat="1" x14ac:dyDescent="0.25">
      <c r="B296" s="19" t="s">
        <v>1082</v>
      </c>
      <c r="C296" s="3" t="s">
        <v>765</v>
      </c>
      <c r="D296" s="3">
        <v>13.666666666666666</v>
      </c>
      <c r="E296" s="3">
        <v>23.893015460650769</v>
      </c>
      <c r="F296" s="3">
        <v>320</v>
      </c>
      <c r="G296" s="4">
        <v>22.07</v>
      </c>
      <c r="H296" s="7"/>
      <c r="I296" s="7"/>
      <c r="J296" s="38">
        <f t="shared" si="69"/>
        <v>24.584313533829732</v>
      </c>
      <c r="K296" s="37">
        <f t="shared" si="70"/>
        <v>26.522595297556798</v>
      </c>
      <c r="L296" s="37">
        <f t="shared" si="71"/>
        <v>15.620936040678025</v>
      </c>
      <c r="M296" s="39">
        <f t="shared" si="72"/>
        <v>156.17243205540498</v>
      </c>
      <c r="N296" s="117"/>
      <c r="O296" s="38">
        <f t="shared" si="65"/>
        <v>1.7988522097924196</v>
      </c>
      <c r="P296" s="37">
        <f t="shared" si="66"/>
        <v>1.940677704699278</v>
      </c>
      <c r="Q296" s="37">
        <f t="shared" si="67"/>
        <v>1.1429953200496117</v>
      </c>
      <c r="R296" s="39">
        <f t="shared" si="68"/>
        <v>11.427251126005244</v>
      </c>
    </row>
    <row r="297" spans="2:18" customFormat="1" x14ac:dyDescent="0.25">
      <c r="B297" s="19" t="s">
        <v>1082</v>
      </c>
      <c r="C297" s="3" t="s">
        <v>766</v>
      </c>
      <c r="D297" s="3">
        <v>13.666666666666666</v>
      </c>
      <c r="E297" s="3">
        <v>23.508297415097914</v>
      </c>
      <c r="F297" s="3">
        <v>180</v>
      </c>
      <c r="G297" s="4">
        <v>29.17</v>
      </c>
      <c r="H297" s="7"/>
      <c r="I297" s="7"/>
      <c r="J297" s="38">
        <f t="shared" si="69"/>
        <v>24.539563693069951</v>
      </c>
      <c r="K297" s="37">
        <f t="shared" si="70"/>
        <v>26.095536559714777</v>
      </c>
      <c r="L297" s="37">
        <f t="shared" si="71"/>
        <v>12.707144291560574</v>
      </c>
      <c r="M297" s="39">
        <f t="shared" si="72"/>
        <v>124.83019674954092</v>
      </c>
      <c r="N297" s="117"/>
      <c r="O297" s="38">
        <f t="shared" si="65"/>
        <v>1.7955778312002404</v>
      </c>
      <c r="P297" s="37">
        <f t="shared" si="66"/>
        <v>1.9094295043693741</v>
      </c>
      <c r="Q297" s="37">
        <f t="shared" si="67"/>
        <v>0.92979104572394455</v>
      </c>
      <c r="R297" s="39">
        <f t="shared" si="68"/>
        <v>9.1339168353322631</v>
      </c>
    </row>
    <row r="298" spans="2:18" customFormat="1" x14ac:dyDescent="0.25">
      <c r="B298" s="19" t="s">
        <v>1082</v>
      </c>
      <c r="C298" s="3" t="s">
        <v>767</v>
      </c>
      <c r="D298" s="3">
        <v>12.583333333333334</v>
      </c>
      <c r="E298" s="3">
        <v>23.904979664156681</v>
      </c>
      <c r="F298" s="3">
        <v>260</v>
      </c>
      <c r="G298" s="4">
        <v>27.01</v>
      </c>
      <c r="H298" s="7"/>
      <c r="I298" s="7"/>
      <c r="J298" s="38">
        <f t="shared" si="69"/>
        <v>24.158852719260324</v>
      </c>
      <c r="K298" s="37">
        <f t="shared" si="70"/>
        <v>25.893245599042327</v>
      </c>
      <c r="L298" s="37">
        <f t="shared" si="71"/>
        <v>13.840434171707662</v>
      </c>
      <c r="M298" s="39">
        <f t="shared" si="72"/>
        <v>135.19560246897225</v>
      </c>
      <c r="N298" s="117"/>
      <c r="O298" s="38">
        <f t="shared" si="65"/>
        <v>1.9199088253716812</v>
      </c>
      <c r="P298" s="37">
        <f t="shared" si="66"/>
        <v>2.0577413721093238</v>
      </c>
      <c r="Q298" s="37">
        <f t="shared" si="67"/>
        <v>1.0999020533807413</v>
      </c>
      <c r="R298" s="39">
        <f t="shared" si="68"/>
        <v>10.744021388262695</v>
      </c>
    </row>
    <row r="299" spans="2:18" customFormat="1" x14ac:dyDescent="0.25">
      <c r="B299" s="19" t="s">
        <v>1082</v>
      </c>
      <c r="C299" s="3" t="s">
        <v>768</v>
      </c>
      <c r="D299" s="3">
        <v>12.583333333333334</v>
      </c>
      <c r="E299" s="3">
        <v>22.618426939176025</v>
      </c>
      <c r="F299" s="3">
        <v>240</v>
      </c>
      <c r="G299" s="4">
        <v>27.75</v>
      </c>
      <c r="H299" s="7"/>
      <c r="I299" s="7"/>
      <c r="J299" s="38">
        <f t="shared" si="69"/>
        <v>22.642904064190962</v>
      </c>
      <c r="K299" s="37">
        <f t="shared" si="70"/>
        <v>24.499685506038315</v>
      </c>
      <c r="L299" s="37">
        <f t="shared" si="71"/>
        <v>11.919276346400425</v>
      </c>
      <c r="M299" s="39">
        <f t="shared" si="72"/>
        <v>106.63746271071976</v>
      </c>
      <c r="N299" s="117"/>
      <c r="O299" s="38">
        <f t="shared" si="65"/>
        <v>1.799436084571467</v>
      </c>
      <c r="P299" s="37">
        <f t="shared" si="66"/>
        <v>1.9469948746520513</v>
      </c>
      <c r="Q299" s="37">
        <f t="shared" si="67"/>
        <v>0.94722725931659002</v>
      </c>
      <c r="R299" s="39">
        <f t="shared" si="68"/>
        <v>8.4745003478717678</v>
      </c>
    </row>
    <row r="300" spans="2:18" customFormat="1" x14ac:dyDescent="0.25">
      <c r="B300" s="19" t="s">
        <v>1082</v>
      </c>
      <c r="C300" s="3" t="s">
        <v>769</v>
      </c>
      <c r="D300" s="3">
        <v>13.666666666666666</v>
      </c>
      <c r="E300" s="3">
        <v>25.614122506545094</v>
      </c>
      <c r="F300" s="3">
        <v>260</v>
      </c>
      <c r="G300" s="4">
        <v>29.66</v>
      </c>
      <c r="H300" s="7"/>
      <c r="I300" s="7"/>
      <c r="J300" s="38">
        <f t="shared" si="69"/>
        <v>27.117157219108094</v>
      </c>
      <c r="K300" s="37">
        <f t="shared" si="70"/>
        <v>28.433121230007913</v>
      </c>
      <c r="L300" s="37">
        <f t="shared" si="71"/>
        <v>17.181112733768057</v>
      </c>
      <c r="M300" s="39">
        <f t="shared" si="72"/>
        <v>194.28414206788236</v>
      </c>
      <c r="N300" s="117"/>
      <c r="O300" s="38">
        <f t="shared" si="65"/>
        <v>1.9841822355444947</v>
      </c>
      <c r="P300" s="37">
        <f t="shared" si="66"/>
        <v>2.0804722851225304</v>
      </c>
      <c r="Q300" s="37">
        <f t="shared" si="67"/>
        <v>1.2571545902757115</v>
      </c>
      <c r="R300" s="39">
        <f t="shared" si="68"/>
        <v>14.215912834235295</v>
      </c>
    </row>
    <row r="301" spans="2:18" customFormat="1" x14ac:dyDescent="0.25">
      <c r="B301" s="19" t="s">
        <v>1082</v>
      </c>
      <c r="C301" s="3" t="s">
        <v>770</v>
      </c>
      <c r="D301" s="3">
        <v>10.5</v>
      </c>
      <c r="E301" s="3">
        <v>26.476891885855743</v>
      </c>
      <c r="F301" s="3">
        <v>240</v>
      </c>
      <c r="G301" s="4">
        <v>29.18</v>
      </c>
      <c r="H301" s="7"/>
      <c r="I301" s="7"/>
      <c r="J301" s="38">
        <f t="shared" si="69"/>
        <v>25.974522135655988</v>
      </c>
      <c r="K301" s="37">
        <f t="shared" si="70"/>
        <v>26.972130885553284</v>
      </c>
      <c r="L301" s="37">
        <f t="shared" si="71"/>
        <v>15.323285445716888</v>
      </c>
      <c r="M301" s="39">
        <f t="shared" si="72"/>
        <v>167.01125401923471</v>
      </c>
      <c r="N301" s="117"/>
      <c r="O301" s="38">
        <f t="shared" si="65"/>
        <v>2.4737640129196179</v>
      </c>
      <c r="P301" s="37">
        <f t="shared" si="66"/>
        <v>2.5687743700526937</v>
      </c>
      <c r="Q301" s="37">
        <f t="shared" si="67"/>
        <v>1.4593605186397036</v>
      </c>
      <c r="R301" s="39">
        <f t="shared" si="68"/>
        <v>15.905833716117591</v>
      </c>
    </row>
    <row r="302" spans="2:18" customFormat="1" x14ac:dyDescent="0.25">
      <c r="B302" s="19" t="s">
        <v>1082</v>
      </c>
      <c r="C302" s="3" t="s">
        <v>771</v>
      </c>
      <c r="D302" s="3">
        <v>11.5</v>
      </c>
      <c r="E302" s="3">
        <v>27.239490035391189</v>
      </c>
      <c r="F302" s="3">
        <v>660</v>
      </c>
      <c r="G302" s="4">
        <v>18.53</v>
      </c>
      <c r="H302" s="7"/>
      <c r="I302" s="7"/>
      <c r="J302" s="38">
        <f t="shared" si="69"/>
        <v>26.474175194971384</v>
      </c>
      <c r="K302" s="37">
        <f t="shared" si="70"/>
        <v>28.657889036202658</v>
      </c>
      <c r="L302" s="37">
        <f t="shared" si="71"/>
        <v>29.253631422123174</v>
      </c>
      <c r="M302" s="39">
        <f t="shared" si="72"/>
        <v>339.3317948022335</v>
      </c>
      <c r="N302" s="117"/>
      <c r="O302" s="38">
        <f t="shared" si="65"/>
        <v>2.3021021908670769</v>
      </c>
      <c r="P302" s="37">
        <f t="shared" si="66"/>
        <v>2.4919903509741443</v>
      </c>
      <c r="Q302" s="37">
        <f t="shared" si="67"/>
        <v>2.5437940367063629</v>
      </c>
      <c r="R302" s="39">
        <f t="shared" si="68"/>
        <v>29.507112591498565</v>
      </c>
    </row>
    <row r="303" spans="2:18" customFormat="1" x14ac:dyDescent="0.25">
      <c r="B303" s="19" t="s">
        <v>1082</v>
      </c>
      <c r="C303" s="3" t="s">
        <v>772</v>
      </c>
      <c r="D303" s="3">
        <v>11.583333333333334</v>
      </c>
      <c r="E303" s="3">
        <v>25.255141917651056</v>
      </c>
      <c r="F303" s="3">
        <v>320</v>
      </c>
      <c r="G303" s="4">
        <v>23.61</v>
      </c>
      <c r="H303" s="7"/>
      <c r="I303" s="7"/>
      <c r="J303" s="38">
        <f t="shared" si="69"/>
        <v>25.010419485064432</v>
      </c>
      <c r="K303" s="37">
        <f t="shared" si="70"/>
        <v>26.63497921979749</v>
      </c>
      <c r="L303" s="37">
        <f t="shared" si="71"/>
        <v>16.075717512865531</v>
      </c>
      <c r="M303" s="39">
        <f t="shared" si="72"/>
        <v>166.61016416612449</v>
      </c>
      <c r="N303" s="117"/>
      <c r="O303" s="38">
        <f t="shared" si="65"/>
        <v>2.1591729051854185</v>
      </c>
      <c r="P303" s="37">
        <f t="shared" si="66"/>
        <v>2.2994226664573372</v>
      </c>
      <c r="Q303" s="37">
        <f t="shared" si="67"/>
        <v>1.3878317277293983</v>
      </c>
      <c r="R303" s="39">
        <f t="shared" si="68"/>
        <v>14.383611294917221</v>
      </c>
    </row>
    <row r="304" spans="2:18" customFormat="1" x14ac:dyDescent="0.25">
      <c r="B304" s="19" t="s">
        <v>1082</v>
      </c>
      <c r="C304" s="3" t="s">
        <v>773</v>
      </c>
      <c r="D304" s="3">
        <v>11.583333333333334</v>
      </c>
      <c r="E304" s="3">
        <v>26.001074379353831</v>
      </c>
      <c r="F304" s="3">
        <v>280</v>
      </c>
      <c r="G304" s="4">
        <v>21.97</v>
      </c>
      <c r="H304" s="7"/>
      <c r="I304" s="7"/>
      <c r="J304" s="38">
        <f t="shared" si="69"/>
        <v>26.144127616632584</v>
      </c>
      <c r="K304" s="37">
        <f t="shared" si="70"/>
        <v>27.421666369749314</v>
      </c>
      <c r="L304" s="37">
        <f t="shared" si="71"/>
        <v>16.472235504722224</v>
      </c>
      <c r="M304" s="39">
        <f t="shared" si="72"/>
        <v>180.2440459998852</v>
      </c>
      <c r="N304" s="117"/>
      <c r="O304" s="38">
        <f t="shared" si="65"/>
        <v>2.2570469884862661</v>
      </c>
      <c r="P304" s="37">
        <f t="shared" si="66"/>
        <v>2.3673381038632502</v>
      </c>
      <c r="Q304" s="37">
        <f t="shared" si="67"/>
        <v>1.4220634968105517</v>
      </c>
      <c r="R304" s="39">
        <f t="shared" si="68"/>
        <v>15.560637064738289</v>
      </c>
    </row>
    <row r="305" spans="2:18" customFormat="1" x14ac:dyDescent="0.25">
      <c r="B305" s="19" t="s">
        <v>1082</v>
      </c>
      <c r="C305" s="3" t="s">
        <v>774</v>
      </c>
      <c r="D305" s="3">
        <v>10.5</v>
      </c>
      <c r="E305" s="3">
        <v>20.464431020109334</v>
      </c>
      <c r="F305" s="3">
        <v>160</v>
      </c>
      <c r="G305" s="4">
        <v>17.72</v>
      </c>
      <c r="H305" s="7"/>
      <c r="I305" s="7"/>
      <c r="J305" s="38">
        <f t="shared" si="69"/>
        <v>19.153799497707368</v>
      </c>
      <c r="K305" s="37">
        <f t="shared" si="70"/>
        <v>20.847209496958889</v>
      </c>
      <c r="L305" s="37">
        <f t="shared" si="71"/>
        <v>7.7466464399213075</v>
      </c>
      <c r="M305" s="39">
        <f t="shared" si="72"/>
        <v>55.953454335361108</v>
      </c>
      <c r="N305" s="117"/>
      <c r="O305" s="38">
        <f t="shared" si="65"/>
        <v>1.824171380734035</v>
      </c>
      <c r="P305" s="37">
        <f t="shared" si="66"/>
        <v>1.9854485235198942</v>
      </c>
      <c r="Q305" s="37">
        <f t="shared" si="67"/>
        <v>0.73777585142107693</v>
      </c>
      <c r="R305" s="39">
        <f t="shared" si="68"/>
        <v>5.3289004128915343</v>
      </c>
    </row>
    <row r="306" spans="2:18" customFormat="1" x14ac:dyDescent="0.25">
      <c r="B306" s="19" t="s">
        <v>1082</v>
      </c>
      <c r="C306" s="3" t="s">
        <v>775</v>
      </c>
      <c r="D306" s="3">
        <v>10.5</v>
      </c>
      <c r="E306" s="3">
        <v>21.269769814970779</v>
      </c>
      <c r="F306" s="3">
        <v>340</v>
      </c>
      <c r="G306" s="4">
        <v>19.87</v>
      </c>
      <c r="H306" s="7"/>
      <c r="I306" s="7"/>
      <c r="J306" s="38">
        <f t="shared" si="69"/>
        <v>19.513889486170978</v>
      </c>
      <c r="K306" s="37">
        <f t="shared" si="70"/>
        <v>21.667611811394469</v>
      </c>
      <c r="L306" s="37">
        <f t="shared" si="71"/>
        <v>10.411927016152537</v>
      </c>
      <c r="M306" s="39">
        <f t="shared" si="72"/>
        <v>78.595721508503715</v>
      </c>
      <c r="N306" s="117"/>
      <c r="O306" s="38">
        <f t="shared" si="65"/>
        <v>1.858465665349617</v>
      </c>
      <c r="P306" s="37">
        <f t="shared" si="66"/>
        <v>2.0635820772756639</v>
      </c>
      <c r="Q306" s="37">
        <f t="shared" si="67"/>
        <v>0.99161209677643214</v>
      </c>
      <c r="R306" s="39">
        <f t="shared" si="68"/>
        <v>7.4853068103336868</v>
      </c>
    </row>
    <row r="307" spans="2:18" customFormat="1" x14ac:dyDescent="0.25">
      <c r="B307" s="19" t="s">
        <v>1082</v>
      </c>
      <c r="C307" s="3" t="s">
        <v>776</v>
      </c>
      <c r="D307" s="3">
        <v>10.5</v>
      </c>
      <c r="E307" s="3">
        <v>23.034895940694497</v>
      </c>
      <c r="F307" s="3">
        <v>320</v>
      </c>
      <c r="G307" s="4">
        <v>24.22</v>
      </c>
      <c r="H307" s="7"/>
      <c r="I307" s="7"/>
      <c r="J307" s="38">
        <f t="shared" si="69"/>
        <v>21.4613031128256</v>
      </c>
      <c r="K307" s="37">
        <f t="shared" si="70"/>
        <v>23.465753870431357</v>
      </c>
      <c r="L307" s="37">
        <f t="shared" si="71"/>
        <v>12.06993452999777</v>
      </c>
      <c r="M307" s="39">
        <f t="shared" si="72"/>
        <v>103.09960371908153</v>
      </c>
      <c r="N307" s="117"/>
      <c r="O307" s="38">
        <f t="shared" si="65"/>
        <v>2.0439336297929143</v>
      </c>
      <c r="P307" s="37">
        <f t="shared" si="66"/>
        <v>2.2348337019458433</v>
      </c>
      <c r="Q307" s="37">
        <f t="shared" si="67"/>
        <v>1.1495175742855019</v>
      </c>
      <c r="R307" s="39">
        <f t="shared" si="68"/>
        <v>9.8190098780077655</v>
      </c>
    </row>
    <row r="308" spans="2:18" customFormat="1" x14ac:dyDescent="0.25">
      <c r="B308" s="19" t="s">
        <v>1082</v>
      </c>
      <c r="C308" s="3" t="s">
        <v>777</v>
      </c>
      <c r="D308" s="3">
        <v>10.5</v>
      </c>
      <c r="E308" s="3">
        <v>25.484008440136147</v>
      </c>
      <c r="F308" s="3">
        <v>260</v>
      </c>
      <c r="G308" s="4">
        <v>23.88</v>
      </c>
      <c r="H308" s="7"/>
      <c r="I308" s="7"/>
      <c r="J308" s="38">
        <f t="shared" si="69"/>
        <v>24.593006084036844</v>
      </c>
      <c r="K308" s="37">
        <f t="shared" si="70"/>
        <v>25.96067597734503</v>
      </c>
      <c r="L308" s="37">
        <f t="shared" si="71"/>
        <v>14.250851755197866</v>
      </c>
      <c r="M308" s="39">
        <f t="shared" si="72"/>
        <v>144.80723080690518</v>
      </c>
      <c r="N308" s="117"/>
      <c r="O308" s="38">
        <f t="shared" si="65"/>
        <v>2.3421910556225565</v>
      </c>
      <c r="P308" s="37">
        <f t="shared" si="66"/>
        <v>2.4724453311757171</v>
      </c>
      <c r="Q308" s="37">
        <f t="shared" si="67"/>
        <v>1.357223976685511</v>
      </c>
      <c r="R308" s="39">
        <f t="shared" si="68"/>
        <v>13.791164838752874</v>
      </c>
    </row>
    <row r="309" spans="2:18" customFormat="1" x14ac:dyDescent="0.25">
      <c r="B309" s="19" t="s">
        <v>1082</v>
      </c>
      <c r="C309" s="3" t="s">
        <v>778</v>
      </c>
      <c r="D309" s="3">
        <v>10.5</v>
      </c>
      <c r="E309" s="3">
        <v>23.432049318982322</v>
      </c>
      <c r="F309" s="3">
        <v>380</v>
      </c>
      <c r="G309" s="4">
        <v>24.62</v>
      </c>
      <c r="H309" s="7"/>
      <c r="I309" s="7"/>
      <c r="J309" s="38">
        <f t="shared" si="69"/>
        <v>21.74111297808096</v>
      </c>
      <c r="K309" s="37">
        <f t="shared" si="70"/>
        <v>23.870335833714648</v>
      </c>
      <c r="L309" s="37">
        <f t="shared" si="71"/>
        <v>13.48821550157853</v>
      </c>
      <c r="M309" s="39">
        <f t="shared" si="72"/>
        <v>117.96814861841041</v>
      </c>
      <c r="N309" s="117"/>
      <c r="O309" s="38">
        <f t="shared" si="65"/>
        <v>2.0705821883886628</v>
      </c>
      <c r="P309" s="37">
        <f t="shared" si="66"/>
        <v>2.2733653174966331</v>
      </c>
      <c r="Q309" s="37">
        <f t="shared" si="67"/>
        <v>1.2845919525312886</v>
      </c>
      <c r="R309" s="39">
        <f t="shared" si="68"/>
        <v>11.235061773181943</v>
      </c>
    </row>
    <row r="310" spans="2:18" customFormat="1" x14ac:dyDescent="0.25">
      <c r="B310" s="19" t="s">
        <v>1082</v>
      </c>
      <c r="C310" s="3" t="s">
        <v>779</v>
      </c>
      <c r="D310" s="3">
        <v>10.5</v>
      </c>
      <c r="E310" s="3">
        <v>26.697532651571208</v>
      </c>
      <c r="F310" s="3">
        <v>360</v>
      </c>
      <c r="G310" s="4">
        <v>24.79</v>
      </c>
      <c r="H310" s="7"/>
      <c r="I310" s="7"/>
      <c r="J310" s="38">
        <f t="shared" si="69"/>
        <v>25.866773284539754</v>
      </c>
      <c r="K310" s="37">
        <f t="shared" si="70"/>
        <v>27.196898642932894</v>
      </c>
      <c r="L310" s="37">
        <f t="shared" si="71"/>
        <v>18.096196900043406</v>
      </c>
      <c r="M310" s="39">
        <f t="shared" si="72"/>
        <v>198.71636070114488</v>
      </c>
      <c r="N310" s="117"/>
      <c r="O310" s="38">
        <f t="shared" si="65"/>
        <v>2.4635022175752148</v>
      </c>
      <c r="P310" s="37">
        <f t="shared" si="66"/>
        <v>2.5901808231364662</v>
      </c>
      <c r="Q310" s="37">
        <f t="shared" si="67"/>
        <v>1.7234473238136576</v>
      </c>
      <c r="R310" s="39">
        <f t="shared" si="68"/>
        <v>18.925367685823321</v>
      </c>
    </row>
    <row r="311" spans="2:18" customFormat="1" x14ac:dyDescent="0.25">
      <c r="B311" s="19" t="s">
        <v>1082</v>
      </c>
      <c r="C311" s="3" t="s">
        <v>780</v>
      </c>
      <c r="D311" s="3">
        <v>10.5</v>
      </c>
      <c r="E311" s="3">
        <v>28.462658777294926</v>
      </c>
      <c r="F311" s="3">
        <v>240</v>
      </c>
      <c r="G311" s="4">
        <v>29.18</v>
      </c>
      <c r="H311" s="7"/>
      <c r="I311" s="7"/>
      <c r="J311" s="38">
        <f t="shared" si="69"/>
        <v>28.82330395960842</v>
      </c>
      <c r="K311" s="37">
        <f t="shared" si="70"/>
        <v>28.995040701969781</v>
      </c>
      <c r="L311" s="37">
        <f t="shared" si="71"/>
        <v>18.592670307401935</v>
      </c>
      <c r="M311" s="39">
        <f t="shared" si="72"/>
        <v>232.53872446930413</v>
      </c>
      <c r="N311" s="117"/>
      <c r="O311" s="38">
        <f t="shared" si="65"/>
        <v>2.7450765675817541</v>
      </c>
      <c r="P311" s="37">
        <f t="shared" si="66"/>
        <v>2.7614324478066457</v>
      </c>
      <c r="Q311" s="37">
        <f t="shared" si="67"/>
        <v>1.770730505466851</v>
      </c>
      <c r="R311" s="39">
        <f t="shared" si="68"/>
        <v>22.146545187552775</v>
      </c>
    </row>
    <row r="312" spans="2:18" customFormat="1" x14ac:dyDescent="0.25">
      <c r="B312" s="19" t="s">
        <v>1082</v>
      </c>
      <c r="C312" s="3" t="s">
        <v>781</v>
      </c>
      <c r="D312" s="3">
        <v>15.666666666666666</v>
      </c>
      <c r="E312" s="3">
        <v>28.311932364548621</v>
      </c>
      <c r="F312" s="3">
        <v>180</v>
      </c>
      <c r="G312" s="4">
        <v>32.94</v>
      </c>
      <c r="H312" s="7"/>
      <c r="I312" s="7"/>
      <c r="J312" s="38">
        <f t="shared" si="69"/>
        <v>32.802408745850514</v>
      </c>
      <c r="K312" s="37">
        <f t="shared" si="70"/>
        <v>32.591324691954455</v>
      </c>
      <c r="L312" s="37">
        <f t="shared" si="71"/>
        <v>21.840796607158946</v>
      </c>
      <c r="M312" s="39">
        <f t="shared" si="72"/>
        <v>311.96047464508405</v>
      </c>
      <c r="N312" s="117"/>
      <c r="O312" s="38">
        <f t="shared" si="65"/>
        <v>2.093770771011735</v>
      </c>
      <c r="P312" s="37">
        <f t="shared" si="66"/>
        <v>2.0802973207630502</v>
      </c>
      <c r="Q312" s="37">
        <f t="shared" si="67"/>
        <v>1.3940934004569541</v>
      </c>
      <c r="R312" s="39">
        <f t="shared" si="68"/>
        <v>19.91237072202664</v>
      </c>
    </row>
    <row r="313" spans="2:18" customFormat="1" x14ac:dyDescent="0.25">
      <c r="B313" s="19" t="s">
        <v>1082</v>
      </c>
      <c r="C313" s="3" t="s">
        <v>782</v>
      </c>
      <c r="D313" s="3">
        <v>15.666666666666666</v>
      </c>
      <c r="E313" s="3">
        <v>25.773621187037364</v>
      </c>
      <c r="F313" s="3">
        <v>160</v>
      </c>
      <c r="G313" s="4">
        <v>34.46</v>
      </c>
      <c r="H313" s="7"/>
      <c r="I313" s="7"/>
      <c r="J313" s="38">
        <f t="shared" si="69"/>
        <v>28.791974242994527</v>
      </c>
      <c r="K313" s="37">
        <f t="shared" si="70"/>
        <v>29.66934385750336</v>
      </c>
      <c r="L313" s="37">
        <f t="shared" si="71"/>
        <v>16.650387664698219</v>
      </c>
      <c r="M313" s="39">
        <f t="shared" si="72"/>
        <v>199.72484327069267</v>
      </c>
      <c r="N313" s="117"/>
      <c r="O313" s="38">
        <f t="shared" si="65"/>
        <v>1.8377855899783742</v>
      </c>
      <c r="P313" s="37">
        <f t="shared" si="66"/>
        <v>1.8937879057980869</v>
      </c>
      <c r="Q313" s="37">
        <f t="shared" si="67"/>
        <v>1.062790702002014</v>
      </c>
      <c r="R313" s="39">
        <f t="shared" si="68"/>
        <v>12.748394251320809</v>
      </c>
    </row>
    <row r="314" spans="2:18" customFormat="1" x14ac:dyDescent="0.25">
      <c r="B314" s="19" t="s">
        <v>1082</v>
      </c>
      <c r="C314" s="3" t="s">
        <v>783</v>
      </c>
      <c r="D314" s="3">
        <v>15.666666666666666</v>
      </c>
      <c r="E314" s="3">
        <v>26.788945658041861</v>
      </c>
      <c r="F314" s="3">
        <v>160</v>
      </c>
      <c r="G314" s="4">
        <v>28.57</v>
      </c>
      <c r="H314" s="7"/>
      <c r="I314" s="7"/>
      <c r="J314" s="38">
        <f t="shared" si="69"/>
        <v>30.365490592738123</v>
      </c>
      <c r="K314" s="37">
        <f t="shared" si="70"/>
        <v>30.838136191283791</v>
      </c>
      <c r="L314" s="37">
        <f t="shared" si="71"/>
        <v>18.380971089282397</v>
      </c>
      <c r="M314" s="39">
        <f t="shared" si="72"/>
        <v>236.55458383698613</v>
      </c>
      <c r="N314" s="117"/>
      <c r="O314" s="38">
        <f t="shared" si="65"/>
        <v>1.9382228037917952</v>
      </c>
      <c r="P314" s="37">
        <f t="shared" si="66"/>
        <v>1.9683916717840719</v>
      </c>
      <c r="Q314" s="37">
        <f t="shared" si="67"/>
        <v>1.1732534737839828</v>
      </c>
      <c r="R314" s="39">
        <f t="shared" si="68"/>
        <v>15.099228755552307</v>
      </c>
    </row>
    <row r="315" spans="2:18" customFormat="1" x14ac:dyDescent="0.25">
      <c r="B315" s="19" t="s">
        <v>1082</v>
      </c>
      <c r="C315" s="3" t="s">
        <v>784</v>
      </c>
      <c r="D315" s="3">
        <v>8.3333333333333339</v>
      </c>
      <c r="E315" s="3">
        <v>11.321985840031715</v>
      </c>
      <c r="F315" s="3">
        <v>420</v>
      </c>
      <c r="G315" s="4">
        <v>11.51</v>
      </c>
      <c r="H315" s="7"/>
      <c r="I315" s="7"/>
      <c r="J315" s="38">
        <f t="shared" si="69"/>
        <v>10.353552648929995</v>
      </c>
      <c r="K315" s="37">
        <f t="shared" si="70"/>
        <v>10.47417752634396</v>
      </c>
      <c r="L315" s="37">
        <f t="shared" si="71"/>
        <v>3.5790215069083864</v>
      </c>
      <c r="M315" s="39">
        <f t="shared" si="72"/>
        <v>12.086265046716518</v>
      </c>
      <c r="N315" s="117"/>
      <c r="O315" s="38">
        <f t="shared" si="65"/>
        <v>1.2424263178715993</v>
      </c>
      <c r="P315" s="37">
        <f t="shared" si="66"/>
        <v>1.256901303161275</v>
      </c>
      <c r="Q315" s="37">
        <f t="shared" si="67"/>
        <v>0.42948258082900631</v>
      </c>
      <c r="R315" s="39">
        <f t="shared" si="68"/>
        <v>1.4503518056059821</v>
      </c>
    </row>
    <row r="316" spans="2:18" customFormat="1" x14ac:dyDescent="0.25">
      <c r="B316" s="19" t="s">
        <v>1082</v>
      </c>
      <c r="C316" s="3" t="s">
        <v>785</v>
      </c>
      <c r="D316" s="3">
        <v>7.333333333333333</v>
      </c>
      <c r="E316" s="3">
        <v>9.2440363245195627</v>
      </c>
      <c r="F316" s="3">
        <v>560</v>
      </c>
      <c r="G316" s="4">
        <v>7.26</v>
      </c>
      <c r="H316" s="7"/>
      <c r="I316" s="7"/>
      <c r="J316" s="38">
        <f t="shared" si="69"/>
        <v>8.5223836709319922</v>
      </c>
      <c r="K316" s="37">
        <f t="shared" si="70"/>
        <v>8.0242089797453886</v>
      </c>
      <c r="L316" s="37">
        <f t="shared" si="71"/>
        <v>3.0417487804119441</v>
      </c>
      <c r="M316" s="39">
        <f t="shared" si="72"/>
        <v>8.1966165290905515</v>
      </c>
      <c r="N316" s="117"/>
      <c r="O316" s="38">
        <f t="shared" si="65"/>
        <v>1.1621432278543626</v>
      </c>
      <c r="P316" s="37">
        <f t="shared" si="66"/>
        <v>1.0942103154198257</v>
      </c>
      <c r="Q316" s="37">
        <f t="shared" si="67"/>
        <v>0.41478392460162877</v>
      </c>
      <c r="R316" s="39">
        <f t="shared" si="68"/>
        <v>1.1177204357850752</v>
      </c>
    </row>
    <row r="317" spans="2:18" customFormat="1" x14ac:dyDescent="0.25">
      <c r="B317" s="19" t="s">
        <v>1082</v>
      </c>
      <c r="C317" s="3" t="s">
        <v>786</v>
      </c>
      <c r="D317" s="3">
        <v>7.333333333333333</v>
      </c>
      <c r="E317" s="3">
        <v>9.0109933919686487</v>
      </c>
      <c r="F317" s="3">
        <v>560</v>
      </c>
      <c r="G317" s="4">
        <v>5.94</v>
      </c>
      <c r="H317" s="7"/>
      <c r="I317" s="7"/>
      <c r="J317" s="38">
        <f t="shared" si="69"/>
        <v>8.4189321260744965</v>
      </c>
      <c r="K317" s="37">
        <f t="shared" si="70"/>
        <v>7.8219179970627319</v>
      </c>
      <c r="L317" s="37">
        <f t="shared" si="71"/>
        <v>2.9734906197231576</v>
      </c>
      <c r="M317" s="39">
        <f t="shared" si="72"/>
        <v>7.8843274549937723</v>
      </c>
      <c r="N317" s="117"/>
      <c r="O317" s="38">
        <f t="shared" si="65"/>
        <v>1.1480361990101586</v>
      </c>
      <c r="P317" s="37">
        <f t="shared" si="66"/>
        <v>1.0666251814176453</v>
      </c>
      <c r="Q317" s="37">
        <f t="shared" si="67"/>
        <v>0.40547599359861242</v>
      </c>
      <c r="R317" s="39">
        <f t="shared" si="68"/>
        <v>1.0751355620446053</v>
      </c>
    </row>
    <row r="318" spans="2:18" customFormat="1" x14ac:dyDescent="0.25">
      <c r="B318" s="19" t="s">
        <v>1082</v>
      </c>
      <c r="C318" s="3" t="s">
        <v>787</v>
      </c>
      <c r="D318" s="3">
        <v>7.333333333333333</v>
      </c>
      <c r="E318" s="3">
        <v>11.082486125754546</v>
      </c>
      <c r="F318" s="3">
        <v>560</v>
      </c>
      <c r="G318" s="4">
        <v>8.5</v>
      </c>
      <c r="H318" s="7"/>
      <c r="I318" s="7"/>
      <c r="J318" s="38">
        <f t="shared" si="69"/>
        <v>9.3843528701610648</v>
      </c>
      <c r="K318" s="37">
        <f t="shared" si="70"/>
        <v>9.6200600653530159</v>
      </c>
      <c r="L318" s="37">
        <f t="shared" si="71"/>
        <v>3.6381642695302783</v>
      </c>
      <c r="M318" s="39">
        <f t="shared" si="72"/>
        <v>11.135760732171642</v>
      </c>
      <c r="N318" s="117"/>
      <c r="O318" s="38">
        <f t="shared" si="65"/>
        <v>1.2796844822946907</v>
      </c>
      <c r="P318" s="37">
        <f t="shared" si="66"/>
        <v>1.3118263725481385</v>
      </c>
      <c r="Q318" s="37">
        <f t="shared" si="67"/>
        <v>0.49611330948140159</v>
      </c>
      <c r="R318" s="39">
        <f t="shared" si="68"/>
        <v>1.5185128271143149</v>
      </c>
    </row>
    <row r="319" spans="2:18" customFormat="1" x14ac:dyDescent="0.25">
      <c r="B319" s="19" t="s">
        <v>1082</v>
      </c>
      <c r="C319" s="3" t="s">
        <v>788</v>
      </c>
      <c r="D319" s="3">
        <v>14.666666666666666</v>
      </c>
      <c r="E319" s="3">
        <v>12.213275132656733</v>
      </c>
      <c r="F319" s="3">
        <v>500</v>
      </c>
      <c r="G319" s="4">
        <v>10.52</v>
      </c>
      <c r="H319" s="7"/>
      <c r="I319" s="7"/>
      <c r="J319" s="38">
        <f t="shared" si="69"/>
        <v>13.289517169384467</v>
      </c>
      <c r="K319" s="37">
        <f t="shared" si="70"/>
        <v>13.823217032046388</v>
      </c>
      <c r="L319" s="37">
        <f t="shared" si="71"/>
        <v>6.4739881151118945</v>
      </c>
      <c r="M319" s="39">
        <f t="shared" si="72"/>
        <v>29.114601037637097</v>
      </c>
      <c r="N319" s="117"/>
      <c r="O319" s="38">
        <f t="shared" si="65"/>
        <v>0.90610344336712279</v>
      </c>
      <c r="P319" s="37">
        <f t="shared" si="66"/>
        <v>0.94249207036679927</v>
      </c>
      <c r="Q319" s="37">
        <f t="shared" si="67"/>
        <v>0.441408280575811</v>
      </c>
      <c r="R319" s="39">
        <f t="shared" si="68"/>
        <v>1.9850864343843477</v>
      </c>
    </row>
    <row r="320" spans="2:18" customFormat="1" x14ac:dyDescent="0.25">
      <c r="B320" s="19" t="s">
        <v>1082</v>
      </c>
      <c r="C320" s="3" t="s">
        <v>789</v>
      </c>
      <c r="D320" s="3">
        <v>14.666666666666666</v>
      </c>
      <c r="E320" s="3">
        <v>13.861570800966501</v>
      </c>
      <c r="F320" s="3">
        <v>560</v>
      </c>
      <c r="G320" s="4">
        <v>12.94</v>
      </c>
      <c r="H320" s="7"/>
      <c r="I320" s="7"/>
      <c r="J320" s="38">
        <f t="shared" si="69"/>
        <v>14.375103300573311</v>
      </c>
      <c r="K320" s="37">
        <f t="shared" si="70"/>
        <v>15.6887894119811</v>
      </c>
      <c r="L320" s="37">
        <f t="shared" si="71"/>
        <v>8.17221376512361</v>
      </c>
      <c r="M320" s="39">
        <f t="shared" si="72"/>
        <v>41.038240099953853</v>
      </c>
      <c r="N320" s="117"/>
      <c r="O320" s="38">
        <f t="shared" si="65"/>
        <v>0.98012067958454396</v>
      </c>
      <c r="P320" s="37">
        <f t="shared" si="66"/>
        <v>1.0696901871805296</v>
      </c>
      <c r="Q320" s="37">
        <f t="shared" si="67"/>
        <v>0.55719639307660984</v>
      </c>
      <c r="R320" s="39">
        <f t="shared" si="68"/>
        <v>2.7980618249968536</v>
      </c>
    </row>
    <row r="321" spans="2:18" customFormat="1" x14ac:dyDescent="0.25">
      <c r="B321" s="19" t="s">
        <v>1082</v>
      </c>
      <c r="C321" s="3" t="s">
        <v>790</v>
      </c>
      <c r="D321" s="3">
        <v>14.666666666666666</v>
      </c>
      <c r="E321" s="3">
        <v>9.9294919777697022</v>
      </c>
      <c r="F321" s="3">
        <v>580</v>
      </c>
      <c r="G321" s="4">
        <v>9.5500000000000007</v>
      </c>
      <c r="H321" s="7"/>
      <c r="I321" s="7"/>
      <c r="J321" s="38">
        <f t="shared" si="69"/>
        <v>11.667524724104201</v>
      </c>
      <c r="K321" s="37">
        <f t="shared" si="70"/>
        <v>11.238387830932021</v>
      </c>
      <c r="L321" s="37">
        <f t="shared" si="71"/>
        <v>5.7083766185347979</v>
      </c>
      <c r="M321" s="39">
        <f t="shared" si="72"/>
        <v>21.800429922639218</v>
      </c>
      <c r="N321" s="117"/>
      <c r="O321" s="38">
        <f t="shared" si="65"/>
        <v>0.79551304937074097</v>
      </c>
      <c r="P321" s="37">
        <f t="shared" si="66"/>
        <v>0.76625371574536516</v>
      </c>
      <c r="Q321" s="37">
        <f t="shared" si="67"/>
        <v>0.3892074967182817</v>
      </c>
      <c r="R321" s="39">
        <f t="shared" si="68"/>
        <v>1.4863929492708559</v>
      </c>
    </row>
    <row r="322" spans="2:18" customFormat="1" x14ac:dyDescent="0.25">
      <c r="B322" s="19" t="s">
        <v>1082</v>
      </c>
      <c r="C322" s="3" t="s">
        <v>791</v>
      </c>
      <c r="D322" s="3">
        <v>14.666666666666666</v>
      </c>
      <c r="E322" s="3">
        <v>12.61045481176752</v>
      </c>
      <c r="F322" s="3">
        <v>520</v>
      </c>
      <c r="G322" s="4">
        <v>12.8</v>
      </c>
      <c r="H322" s="7"/>
      <c r="I322" s="7"/>
      <c r="J322" s="38">
        <f t="shared" si="69"/>
        <v>13.533533075965865</v>
      </c>
      <c r="K322" s="37">
        <f t="shared" si="70"/>
        <v>14.272752545283668</v>
      </c>
      <c r="L322" s="37">
        <f t="shared" si="71"/>
        <v>6.8937392777716573</v>
      </c>
      <c r="M322" s="39">
        <f t="shared" si="72"/>
        <v>31.825991536088544</v>
      </c>
      <c r="N322" s="117"/>
      <c r="O322" s="38">
        <f t="shared" si="65"/>
        <v>0.92274089154312722</v>
      </c>
      <c r="P322" s="37">
        <f t="shared" si="66"/>
        <v>0.97314221899661379</v>
      </c>
      <c r="Q322" s="37">
        <f t="shared" si="67"/>
        <v>0.47002767802988576</v>
      </c>
      <c r="R322" s="39">
        <f t="shared" si="68"/>
        <v>2.1699539683696734</v>
      </c>
    </row>
    <row r="323" spans="2:18" customFormat="1" x14ac:dyDescent="0.25">
      <c r="B323" s="19" t="s">
        <v>1082</v>
      </c>
      <c r="C323" s="3" t="s">
        <v>792</v>
      </c>
      <c r="D323" s="3">
        <v>8.25</v>
      </c>
      <c r="E323" s="3">
        <v>9.8620387121905839</v>
      </c>
      <c r="F323" s="3">
        <v>820</v>
      </c>
      <c r="G323" s="4">
        <v>6.7</v>
      </c>
      <c r="H323" s="7"/>
      <c r="I323" s="7"/>
      <c r="J323" s="38">
        <f t="shared" si="69"/>
        <v>9.055986900054096</v>
      </c>
      <c r="K323" s="37">
        <f t="shared" si="70"/>
        <v>9.0806174276497398</v>
      </c>
      <c r="L323" s="37">
        <f t="shared" si="71"/>
        <v>4.9834876661412943</v>
      </c>
      <c r="M323" s="39">
        <f t="shared" si="72"/>
        <v>14.740027130590596</v>
      </c>
      <c r="N323" s="117"/>
      <c r="O323" s="38">
        <f t="shared" si="65"/>
        <v>1.0976953818247388</v>
      </c>
      <c r="P323" s="37">
        <f t="shared" si="66"/>
        <v>1.1006809003211806</v>
      </c>
      <c r="Q323" s="37">
        <f t="shared" si="67"/>
        <v>0.6040591110474296</v>
      </c>
      <c r="R323" s="39">
        <f t="shared" si="68"/>
        <v>1.7866699552231025</v>
      </c>
    </row>
    <row r="324" spans="2:18" customFormat="1" x14ac:dyDescent="0.25">
      <c r="B324" s="19" t="s">
        <v>1082</v>
      </c>
      <c r="C324" s="3" t="s">
        <v>793</v>
      </c>
      <c r="D324" s="3">
        <v>7.583333333333333</v>
      </c>
      <c r="E324" s="3">
        <v>18.968940334960852</v>
      </c>
      <c r="F324" s="3">
        <v>1800</v>
      </c>
      <c r="G324" s="4">
        <v>14.63</v>
      </c>
      <c r="H324" s="7"/>
      <c r="I324" s="7"/>
      <c r="J324" s="38">
        <f t="shared" si="69"/>
        <v>12.285554020721792</v>
      </c>
      <c r="K324" s="37">
        <f t="shared" si="70"/>
        <v>16.75643638945412</v>
      </c>
      <c r="L324" s="37">
        <f t="shared" si="71"/>
        <v>36.296940786274924</v>
      </c>
      <c r="M324" s="39">
        <f t="shared" si="72"/>
        <v>180.59291326145174</v>
      </c>
      <c r="N324" s="117"/>
      <c r="O324" s="38">
        <f t="shared" si="65"/>
        <v>1.620073057677599</v>
      </c>
      <c r="P324" s="37">
        <f t="shared" si="66"/>
        <v>2.2096399634444994</v>
      </c>
      <c r="Q324" s="37">
        <f t="shared" si="67"/>
        <v>4.7864097740142757</v>
      </c>
      <c r="R324" s="39">
        <f t="shared" si="68"/>
        <v>23.814450100411218</v>
      </c>
    </row>
    <row r="325" spans="2:18" customFormat="1" x14ac:dyDescent="0.25">
      <c r="B325" s="19" t="s">
        <v>1082</v>
      </c>
      <c r="C325" s="3" t="s">
        <v>794</v>
      </c>
      <c r="D325" s="3">
        <v>7.583333333333333</v>
      </c>
      <c r="E325" s="3">
        <v>19.147052450782084</v>
      </c>
      <c r="F325" s="3">
        <v>1640</v>
      </c>
      <c r="G325" s="4">
        <v>14.53</v>
      </c>
      <c r="H325" s="7"/>
      <c r="I325" s="7"/>
      <c r="J325" s="38">
        <f t="shared" si="69"/>
        <v>12.663431416428882</v>
      </c>
      <c r="K325" s="37">
        <f t="shared" si="70"/>
        <v>16.913773820341014</v>
      </c>
      <c r="L325" s="37">
        <f t="shared" si="71"/>
        <v>30.446157655336364</v>
      </c>
      <c r="M325" s="39">
        <f t="shared" si="72"/>
        <v>154.96725556099832</v>
      </c>
      <c r="N325" s="117"/>
      <c r="O325" s="38">
        <f t="shared" si="65"/>
        <v>1.6699030439246878</v>
      </c>
      <c r="P325" s="37">
        <f t="shared" si="66"/>
        <v>2.2303877565284855</v>
      </c>
      <c r="Q325" s="37">
        <f t="shared" si="67"/>
        <v>4.014877932571828</v>
      </c>
      <c r="R325" s="39">
        <f t="shared" si="68"/>
        <v>20.435242491560221</v>
      </c>
    </row>
    <row r="326" spans="2:18" customFormat="1" x14ac:dyDescent="0.25">
      <c r="B326" s="19" t="s">
        <v>1082</v>
      </c>
      <c r="C326" s="3" t="s">
        <v>795</v>
      </c>
      <c r="D326" s="3">
        <v>7.583333333333333</v>
      </c>
      <c r="E326" s="3">
        <v>14.299858441647213</v>
      </c>
      <c r="F326" s="3">
        <v>720</v>
      </c>
      <c r="G326" s="4">
        <v>10.7</v>
      </c>
      <c r="H326" s="7"/>
      <c r="I326" s="7"/>
      <c r="J326" s="38">
        <f t="shared" si="69"/>
        <v>11.080773922769602</v>
      </c>
      <c r="K326" s="37">
        <f t="shared" si="70"/>
        <v>12.631948022633416</v>
      </c>
      <c r="L326" s="37">
        <f t="shared" si="71"/>
        <v>6.2554405698674458</v>
      </c>
      <c r="M326" s="39">
        <f t="shared" si="72"/>
        <v>24.158206932395231</v>
      </c>
      <c r="N326" s="117"/>
      <c r="O326" s="38">
        <f t="shared" ref="O326:O389" si="73">J326/D326</f>
        <v>1.4612009568487387</v>
      </c>
      <c r="P326" s="37">
        <f t="shared" ref="P326:P389" si="74">K326/D326</f>
        <v>1.665751387600011</v>
      </c>
      <c r="Q326" s="37">
        <f t="shared" ref="Q326:Q389" si="75">L326/D326</f>
        <v>0.82489326196054236</v>
      </c>
      <c r="R326" s="39">
        <f t="shared" ref="R326:R389" si="76">M326/D326</f>
        <v>3.1856976174587119</v>
      </c>
    </row>
    <row r="327" spans="2:18" customFormat="1" x14ac:dyDescent="0.25">
      <c r="B327" s="19" t="s">
        <v>1082</v>
      </c>
      <c r="C327" s="3" t="s">
        <v>796</v>
      </c>
      <c r="D327" s="3">
        <v>7.583333333333333</v>
      </c>
      <c r="E327" s="3">
        <v>17.63309946630164</v>
      </c>
      <c r="F327" s="3">
        <v>980</v>
      </c>
      <c r="G327" s="4">
        <v>13.27</v>
      </c>
      <c r="H327" s="7"/>
      <c r="I327" s="7"/>
      <c r="J327" s="38">
        <f t="shared" si="69"/>
        <v>12.753894677791106</v>
      </c>
      <c r="K327" s="37">
        <f t="shared" si="70"/>
        <v>15.576405657802422</v>
      </c>
      <c r="L327" s="37">
        <f t="shared" si="71"/>
        <v>11.844882522461626</v>
      </c>
      <c r="M327" s="39">
        <f t="shared" si="72"/>
        <v>56.66417069717145</v>
      </c>
      <c r="N327" s="117"/>
      <c r="O327" s="38">
        <f t="shared" si="73"/>
        <v>1.6818322652032227</v>
      </c>
      <c r="P327" s="37">
        <f t="shared" si="74"/>
        <v>2.0540315153146049</v>
      </c>
      <c r="Q327" s="37">
        <f t="shared" si="75"/>
        <v>1.5619625304345002</v>
      </c>
      <c r="R327" s="39">
        <f t="shared" si="76"/>
        <v>7.4721983336929387</v>
      </c>
    </row>
    <row r="328" spans="2:18" customFormat="1" x14ac:dyDescent="0.25">
      <c r="B328" s="19" t="s">
        <v>1082</v>
      </c>
      <c r="C328" s="3" t="s">
        <v>797</v>
      </c>
      <c r="D328" s="3">
        <v>7.583333333333333</v>
      </c>
      <c r="E328" s="3">
        <v>19.210663920718236</v>
      </c>
      <c r="F328" s="3">
        <v>920</v>
      </c>
      <c r="G328" s="4">
        <v>16.989999999999998</v>
      </c>
      <c r="H328" s="7"/>
      <c r="I328" s="7"/>
      <c r="J328" s="38">
        <f t="shared" si="69"/>
        <v>13.962457356518193</v>
      </c>
      <c r="K328" s="37">
        <f t="shared" si="70"/>
        <v>16.969965759943477</v>
      </c>
      <c r="L328" s="37">
        <f t="shared" si="71"/>
        <v>12.847059106955799</v>
      </c>
      <c r="M328" s="39">
        <f t="shared" si="72"/>
        <v>68.825674721133794</v>
      </c>
      <c r="N328" s="117"/>
      <c r="O328" s="38">
        <f t="shared" si="73"/>
        <v>1.8412031678925092</v>
      </c>
      <c r="P328" s="37">
        <f t="shared" si="74"/>
        <v>2.2377976826299091</v>
      </c>
      <c r="Q328" s="37">
        <f t="shared" si="75"/>
        <v>1.6941176844337318</v>
      </c>
      <c r="R328" s="39">
        <f t="shared" si="76"/>
        <v>9.0759131500396215</v>
      </c>
    </row>
    <row r="329" spans="2:18" customFormat="1" x14ac:dyDescent="0.25">
      <c r="B329" s="19" t="s">
        <v>1082</v>
      </c>
      <c r="C329" s="3" t="s">
        <v>798</v>
      </c>
      <c r="D329" s="3">
        <v>11.666666666666666</v>
      </c>
      <c r="E329" s="3">
        <v>8.8872116783510027</v>
      </c>
      <c r="F329" s="3">
        <v>820</v>
      </c>
      <c r="G329" s="4">
        <v>14.05</v>
      </c>
      <c r="H329" s="7"/>
      <c r="I329" s="7"/>
      <c r="J329" s="38">
        <f t="shared" si="69"/>
        <v>9.9596118746376234</v>
      </c>
      <c r="K329" s="37">
        <f t="shared" si="70"/>
        <v>9.3952922472711151</v>
      </c>
      <c r="L329" s="37">
        <f t="shared" si="71"/>
        <v>5.9990938394791398</v>
      </c>
      <c r="M329" s="39">
        <f t="shared" si="72"/>
        <v>19.413949392564799</v>
      </c>
      <c r="N329" s="117"/>
      <c r="O329" s="38">
        <f t="shared" si="73"/>
        <v>0.85368101782608208</v>
      </c>
      <c r="P329" s="37">
        <f t="shared" si="74"/>
        <v>0.8053107640518099</v>
      </c>
      <c r="Q329" s="37">
        <f t="shared" si="75"/>
        <v>0.51420804338392634</v>
      </c>
      <c r="R329" s="39">
        <f t="shared" si="76"/>
        <v>1.6640528050769829</v>
      </c>
    </row>
    <row r="330" spans="2:18" customFormat="1" x14ac:dyDescent="0.25">
      <c r="B330" s="19" t="s">
        <v>1082</v>
      </c>
      <c r="C330" s="3" t="s">
        <v>799</v>
      </c>
      <c r="D330" s="3">
        <v>11.666666666666666</v>
      </c>
      <c r="E330" s="3">
        <v>12.055141200059854</v>
      </c>
      <c r="F330" s="3">
        <v>940</v>
      </c>
      <c r="G330" s="4">
        <v>13.32</v>
      </c>
      <c r="H330" s="7"/>
      <c r="I330" s="7"/>
      <c r="J330" s="38">
        <f t="shared" si="69"/>
        <v>11.574909540562171</v>
      </c>
      <c r="K330" s="37">
        <f t="shared" si="70"/>
        <v>12.744331828236177</v>
      </c>
      <c r="L330" s="37">
        <f t="shared" si="71"/>
        <v>9.4401614917511747</v>
      </c>
      <c r="M330" s="39">
        <f t="shared" si="72"/>
        <v>37.753380182080981</v>
      </c>
      <c r="N330" s="117"/>
      <c r="O330" s="38">
        <f t="shared" si="73"/>
        <v>0.9921351034767576</v>
      </c>
      <c r="P330" s="37">
        <f t="shared" si="74"/>
        <v>1.092371299563101</v>
      </c>
      <c r="Q330" s="37">
        <f t="shared" si="75"/>
        <v>0.80915669929295786</v>
      </c>
      <c r="R330" s="39">
        <f t="shared" si="76"/>
        <v>3.2360040156069414</v>
      </c>
    </row>
    <row r="331" spans="2:18" customFormat="1" x14ac:dyDescent="0.25">
      <c r="B331" s="19" t="s">
        <v>1082</v>
      </c>
      <c r="C331" s="3" t="s">
        <v>800</v>
      </c>
      <c r="D331" s="3">
        <v>11.666666666666666</v>
      </c>
      <c r="E331" s="3">
        <v>15.584512345050918</v>
      </c>
      <c r="F331" s="3">
        <v>1100</v>
      </c>
      <c r="G331" s="4">
        <v>19.09</v>
      </c>
      <c r="H331" s="7"/>
      <c r="I331" s="7"/>
      <c r="J331" s="38">
        <f t="shared" si="69"/>
        <v>13.637775307190257</v>
      </c>
      <c r="K331" s="37">
        <f t="shared" si="70"/>
        <v>16.475476596291209</v>
      </c>
      <c r="L331" s="37">
        <f t="shared" si="71"/>
        <v>16.148360750480375</v>
      </c>
      <c r="M331" s="39">
        <f t="shared" si="72"/>
        <v>81.620847455690708</v>
      </c>
      <c r="N331" s="117"/>
      <c r="O331" s="38">
        <f t="shared" si="73"/>
        <v>1.1689521691877363</v>
      </c>
      <c r="P331" s="37">
        <f t="shared" si="74"/>
        <v>1.4121837082535322</v>
      </c>
      <c r="Q331" s="37">
        <f t="shared" si="75"/>
        <v>1.3841452071840321</v>
      </c>
      <c r="R331" s="39">
        <f t="shared" si="76"/>
        <v>6.9960726390592036</v>
      </c>
    </row>
    <row r="332" spans="2:18" customFormat="1" x14ac:dyDescent="0.25">
      <c r="B332" s="19" t="s">
        <v>1082</v>
      </c>
      <c r="C332" s="3" t="s">
        <v>801</v>
      </c>
      <c r="D332" s="3">
        <v>5</v>
      </c>
      <c r="E332" s="3">
        <v>14.229993278676911</v>
      </c>
      <c r="F332" s="3">
        <v>1000</v>
      </c>
      <c r="G332" s="4">
        <v>7.11</v>
      </c>
      <c r="H332" s="7"/>
      <c r="I332" s="7"/>
      <c r="J332" s="38">
        <f t="shared" si="69"/>
        <v>8.0386829513865319</v>
      </c>
      <c r="K332" s="37">
        <f t="shared" si="70"/>
        <v>9.6425369179891565</v>
      </c>
      <c r="L332" s="37">
        <f t="shared" si="71"/>
        <v>5.0855157260524111</v>
      </c>
      <c r="M332" s="39">
        <f t="shared" si="72"/>
        <v>14.185796246286747</v>
      </c>
      <c r="N332" s="117"/>
      <c r="O332" s="38">
        <f t="shared" si="73"/>
        <v>1.6077365902773064</v>
      </c>
      <c r="P332" s="37">
        <f t="shared" si="74"/>
        <v>1.9285073835978312</v>
      </c>
      <c r="Q332" s="37">
        <f t="shared" si="75"/>
        <v>1.0171031452104822</v>
      </c>
      <c r="R332" s="39">
        <f t="shared" si="76"/>
        <v>2.8371592492573496</v>
      </c>
    </row>
    <row r="333" spans="2:18" customFormat="1" x14ac:dyDescent="0.25">
      <c r="B333" s="19" t="s">
        <v>1082</v>
      </c>
      <c r="C333" s="3" t="s">
        <v>802</v>
      </c>
      <c r="D333" s="3">
        <v>4.75</v>
      </c>
      <c r="E333" s="3">
        <v>10.401710959550829</v>
      </c>
      <c r="F333" s="3">
        <v>660</v>
      </c>
      <c r="G333" s="4">
        <v>5.37</v>
      </c>
      <c r="H333" s="7"/>
      <c r="I333" s="7"/>
      <c r="J333" s="38">
        <f t="shared" si="69"/>
        <v>6.5851904444809239</v>
      </c>
      <c r="K333" s="37">
        <f t="shared" si="70"/>
        <v>6.7655095947265611</v>
      </c>
      <c r="L333" s="37">
        <f t="shared" si="71"/>
        <v>2.1383337270199094</v>
      </c>
      <c r="M333" s="39">
        <f t="shared" si="72"/>
        <v>4.4637607655089706</v>
      </c>
      <c r="N333" s="117"/>
      <c r="O333" s="38">
        <f t="shared" si="73"/>
        <v>1.3863558830486156</v>
      </c>
      <c r="P333" s="37">
        <f t="shared" si="74"/>
        <v>1.4243178094161182</v>
      </c>
      <c r="Q333" s="37">
        <f t="shared" si="75"/>
        <v>0.45017552147787565</v>
      </c>
      <c r="R333" s="39">
        <f t="shared" si="76"/>
        <v>0.9397391085282043</v>
      </c>
    </row>
    <row r="334" spans="2:18" customFormat="1" x14ac:dyDescent="0.25">
      <c r="B334" s="19" t="s">
        <v>1082</v>
      </c>
      <c r="C334" s="3" t="s">
        <v>803</v>
      </c>
      <c r="D334" s="3">
        <v>5.083333333333333</v>
      </c>
      <c r="E334" s="3">
        <v>18.045028777566312</v>
      </c>
      <c r="F334" s="3">
        <v>1140</v>
      </c>
      <c r="G334" s="4">
        <v>9.8800000000000008</v>
      </c>
      <c r="H334" s="7"/>
      <c r="I334" s="7"/>
      <c r="J334" s="38">
        <f t="shared" si="69"/>
        <v>9.7704574040783019</v>
      </c>
      <c r="K334" s="37">
        <f t="shared" si="70"/>
        <v>12.38470358888639</v>
      </c>
      <c r="L334" s="37">
        <f t="shared" si="71"/>
        <v>8.960472052449509</v>
      </c>
      <c r="M334" s="39">
        <f t="shared" si="72"/>
        <v>32.735940649379621</v>
      </c>
      <c r="N334" s="117"/>
      <c r="O334" s="38">
        <f t="shared" si="73"/>
        <v>1.9220571942449121</v>
      </c>
      <c r="P334" s="37">
        <f t="shared" si="74"/>
        <v>2.4363351322399458</v>
      </c>
      <c r="Q334" s="37">
        <f t="shared" si="75"/>
        <v>1.7627158135966248</v>
      </c>
      <c r="R334" s="39">
        <f t="shared" si="76"/>
        <v>6.4398571769271387</v>
      </c>
    </row>
    <row r="335" spans="2:18" customFormat="1" x14ac:dyDescent="0.25">
      <c r="B335" s="19" t="s">
        <v>1082</v>
      </c>
      <c r="C335" s="3" t="s">
        <v>804</v>
      </c>
      <c r="D335" s="3">
        <v>5.083333333333333</v>
      </c>
      <c r="E335" s="3">
        <v>14.409823343247149</v>
      </c>
      <c r="F335" s="3">
        <v>1040</v>
      </c>
      <c r="G335" s="4">
        <v>9.08</v>
      </c>
      <c r="H335" s="7"/>
      <c r="I335" s="7"/>
      <c r="J335" s="38">
        <f t="shared" si="69"/>
        <v>8.1821346069426486</v>
      </c>
      <c r="K335" s="37">
        <f t="shared" si="70"/>
        <v>9.8897814502904033</v>
      </c>
      <c r="L335" s="37">
        <f t="shared" si="71"/>
        <v>5.5738736038268248</v>
      </c>
      <c r="M335" s="39">
        <f t="shared" si="72"/>
        <v>15.932212356277587</v>
      </c>
      <c r="N335" s="117"/>
      <c r="O335" s="38">
        <f t="shared" si="73"/>
        <v>1.6096002505460949</v>
      </c>
      <c r="P335" s="37">
        <f t="shared" si="74"/>
        <v>1.9455307771063091</v>
      </c>
      <c r="Q335" s="37">
        <f t="shared" si="75"/>
        <v>1.096499725342982</v>
      </c>
      <c r="R335" s="39">
        <f t="shared" si="76"/>
        <v>3.1342057094316567</v>
      </c>
    </row>
    <row r="336" spans="2:18" customFormat="1" x14ac:dyDescent="0.25">
      <c r="B336" s="19" t="s">
        <v>1082</v>
      </c>
      <c r="C336" s="3" t="s">
        <v>805</v>
      </c>
      <c r="D336" s="3">
        <v>5.083333333333333</v>
      </c>
      <c r="E336" s="3">
        <v>14.606320934291423</v>
      </c>
      <c r="F336" s="3">
        <v>1120</v>
      </c>
      <c r="G336" s="4">
        <v>9.32</v>
      </c>
      <c r="H336" s="7"/>
      <c r="I336" s="7"/>
      <c r="J336" s="38">
        <f t="shared" si="69"/>
        <v>8.1806443607478005</v>
      </c>
      <c r="K336" s="37">
        <f t="shared" si="70"/>
        <v>10.024642106430724</v>
      </c>
      <c r="L336" s="37">
        <f t="shared" si="71"/>
        <v>6.2575401034692026</v>
      </c>
      <c r="M336" s="39">
        <f t="shared" si="72"/>
        <v>18.037555456585388</v>
      </c>
      <c r="N336" s="117"/>
      <c r="O336" s="38">
        <f t="shared" si="73"/>
        <v>1.6093070873602231</v>
      </c>
      <c r="P336" s="37">
        <f t="shared" si="74"/>
        <v>1.9720607422486671</v>
      </c>
      <c r="Q336" s="37">
        <f t="shared" si="75"/>
        <v>1.2309914957644335</v>
      </c>
      <c r="R336" s="39">
        <f t="shared" si="76"/>
        <v>3.5483715652299126</v>
      </c>
    </row>
    <row r="337" spans="2:18" customFormat="1" x14ac:dyDescent="0.25">
      <c r="B337" s="19" t="s">
        <v>1082</v>
      </c>
      <c r="C337" s="3" t="s">
        <v>806</v>
      </c>
      <c r="D337" s="3">
        <v>5.083333333333333</v>
      </c>
      <c r="E337" s="3">
        <v>13.378210990264677</v>
      </c>
      <c r="F337" s="3">
        <v>1033</v>
      </c>
      <c r="G337" s="4">
        <v>7.89</v>
      </c>
      <c r="H337" s="7"/>
      <c r="I337" s="7"/>
      <c r="J337" s="38">
        <f t="shared" si="69"/>
        <v>7.7586345788807387</v>
      </c>
      <c r="K337" s="37">
        <f t="shared" si="70"/>
        <v>9.1817630055537016</v>
      </c>
      <c r="L337" s="37">
        <f t="shared" si="71"/>
        <v>4.9986732424838234</v>
      </c>
      <c r="M337" s="39">
        <f t="shared" si="72"/>
        <v>13.308404070883762</v>
      </c>
      <c r="N337" s="117"/>
      <c r="O337" s="38">
        <f t="shared" si="73"/>
        <v>1.5262887696158831</v>
      </c>
      <c r="P337" s="37">
        <f t="shared" si="74"/>
        <v>1.806248460108925</v>
      </c>
      <c r="Q337" s="37">
        <f t="shared" si="75"/>
        <v>0.98334555589845707</v>
      </c>
      <c r="R337" s="39">
        <f t="shared" si="76"/>
        <v>2.6180467024689369</v>
      </c>
    </row>
    <row r="338" spans="2:18" customFormat="1" x14ac:dyDescent="0.25">
      <c r="B338" s="19" t="s">
        <v>1082</v>
      </c>
      <c r="C338" s="3" t="s">
        <v>807</v>
      </c>
      <c r="D338" s="3">
        <v>4.666666666666667</v>
      </c>
      <c r="E338" s="3">
        <v>17.883904780247342</v>
      </c>
      <c r="F338" s="3">
        <v>1120</v>
      </c>
      <c r="G338" s="4">
        <v>9.36</v>
      </c>
      <c r="H338" s="7"/>
      <c r="I338" s="7"/>
      <c r="J338" s="38">
        <f t="shared" si="69"/>
        <v>9.0358436714379522</v>
      </c>
      <c r="K338" s="37">
        <f t="shared" si="70"/>
        <v>11.463155797121866</v>
      </c>
      <c r="L338" s="37">
        <f t="shared" si="71"/>
        <v>7.4950304993114711</v>
      </c>
      <c r="M338" s="39">
        <f t="shared" si="72"/>
        <v>25.080644852287946</v>
      </c>
      <c r="N338" s="117"/>
      <c r="O338" s="38">
        <f t="shared" si="73"/>
        <v>1.9362522153081325</v>
      </c>
      <c r="P338" s="37">
        <f t="shared" si="74"/>
        <v>2.4563905279546856</v>
      </c>
      <c r="Q338" s="37">
        <f t="shared" si="75"/>
        <v>1.6060779641381724</v>
      </c>
      <c r="R338" s="39">
        <f t="shared" si="76"/>
        <v>5.3744238969188451</v>
      </c>
    </row>
    <row r="339" spans="2:18" customFormat="1" x14ac:dyDescent="0.25">
      <c r="B339" s="19" t="s">
        <v>1082</v>
      </c>
      <c r="C339" s="3" t="s">
        <v>808</v>
      </c>
      <c r="D339" s="3">
        <v>5.083333333333333</v>
      </c>
      <c r="E339" s="3">
        <v>14.737319328320947</v>
      </c>
      <c r="F339" s="3">
        <v>1040</v>
      </c>
      <c r="G339" s="4">
        <v>9.16</v>
      </c>
      <c r="H339" s="7"/>
      <c r="I339" s="7"/>
      <c r="J339" s="38">
        <f t="shared" si="69"/>
        <v>8.323777290399816</v>
      </c>
      <c r="K339" s="37">
        <f t="shared" si="70"/>
        <v>10.114549210524277</v>
      </c>
      <c r="L339" s="37">
        <f t="shared" si="71"/>
        <v>5.7545168568876504</v>
      </c>
      <c r="M339" s="39">
        <f t="shared" si="72"/>
        <v>16.826101390302313</v>
      </c>
      <c r="N339" s="117"/>
      <c r="O339" s="38">
        <f t="shared" si="73"/>
        <v>1.6374643849966852</v>
      </c>
      <c r="P339" s="37">
        <f t="shared" si="74"/>
        <v>1.9897473856769072</v>
      </c>
      <c r="Q339" s="37">
        <f t="shared" si="75"/>
        <v>1.132036102994292</v>
      </c>
      <c r="R339" s="39">
        <f t="shared" si="76"/>
        <v>3.3100527325184879</v>
      </c>
    </row>
    <row r="340" spans="2:18" customFormat="1" x14ac:dyDescent="0.25">
      <c r="B340" s="19" t="s">
        <v>1082</v>
      </c>
      <c r="C340" s="3" t="s">
        <v>809</v>
      </c>
      <c r="D340" s="3">
        <v>5.083333333333333</v>
      </c>
      <c r="E340" s="3">
        <v>14.409823343247149</v>
      </c>
      <c r="F340" s="3">
        <v>1100</v>
      </c>
      <c r="G340" s="4">
        <v>8.36</v>
      </c>
      <c r="H340" s="7"/>
      <c r="I340" s="7"/>
      <c r="J340" s="38">
        <f t="shared" si="69"/>
        <v>8.118075112542229</v>
      </c>
      <c r="K340" s="37">
        <f t="shared" si="70"/>
        <v>9.8897814502904033</v>
      </c>
      <c r="L340" s="37">
        <f t="shared" si="71"/>
        <v>5.9925093809633907</v>
      </c>
      <c r="M340" s="39">
        <f t="shared" si="72"/>
        <v>17.062157408925152</v>
      </c>
      <c r="N340" s="117"/>
      <c r="O340" s="38">
        <f t="shared" si="73"/>
        <v>1.5969983827951928</v>
      </c>
      <c r="P340" s="37">
        <f t="shared" si="74"/>
        <v>1.9455307771063091</v>
      </c>
      <c r="Q340" s="37">
        <f t="shared" si="75"/>
        <v>1.1788543044518147</v>
      </c>
      <c r="R340" s="39">
        <f t="shared" si="76"/>
        <v>3.3564899820836369</v>
      </c>
    </row>
    <row r="341" spans="2:18" customFormat="1" x14ac:dyDescent="0.25">
      <c r="B341" s="19" t="s">
        <v>1082</v>
      </c>
      <c r="C341" s="3" t="s">
        <v>810</v>
      </c>
      <c r="D341" s="3">
        <v>6.666666666666667</v>
      </c>
      <c r="E341" s="3">
        <v>21.925840626553544</v>
      </c>
      <c r="F341" s="3">
        <v>840</v>
      </c>
      <c r="G341" s="4">
        <v>18.11</v>
      </c>
      <c r="H341" s="7"/>
      <c r="I341" s="7"/>
      <c r="J341" s="38">
        <f t="shared" si="69"/>
        <v>15.096595875781517</v>
      </c>
      <c r="K341" s="37">
        <f t="shared" si="70"/>
        <v>18.048851041261102</v>
      </c>
      <c r="L341" s="37">
        <f t="shared" si="71"/>
        <v>13.167509826179993</v>
      </c>
      <c r="M341" s="39">
        <f t="shared" si="72"/>
        <v>78.973517045721451</v>
      </c>
      <c r="N341" s="117"/>
      <c r="O341" s="38">
        <f t="shared" si="73"/>
        <v>2.2644893813672273</v>
      </c>
      <c r="P341" s="37">
        <f t="shared" si="74"/>
        <v>2.707327656189165</v>
      </c>
      <c r="Q341" s="37">
        <f t="shared" si="75"/>
        <v>1.9751264739269989</v>
      </c>
      <c r="R341" s="39">
        <f t="shared" si="76"/>
        <v>11.846027556858218</v>
      </c>
    </row>
    <row r="342" spans="2:18" customFormat="1" x14ac:dyDescent="0.25">
      <c r="B342" s="19" t="s">
        <v>1082</v>
      </c>
      <c r="C342" s="3" t="s">
        <v>811</v>
      </c>
      <c r="D342" s="3">
        <v>6.666666666666667</v>
      </c>
      <c r="E342" s="3">
        <v>23.891793957950625</v>
      </c>
      <c r="F342" s="3">
        <v>660</v>
      </c>
      <c r="G342" s="4">
        <v>16.96</v>
      </c>
      <c r="H342" s="7"/>
      <c r="I342" s="7"/>
      <c r="J342" s="38">
        <f t="shared" si="69"/>
        <v>17.134243345863236</v>
      </c>
      <c r="K342" s="37">
        <f t="shared" si="70"/>
        <v>19.667178905483766</v>
      </c>
      <c r="L342" s="37">
        <f t="shared" si="71"/>
        <v>12.832186866599065</v>
      </c>
      <c r="M342" s="39">
        <f t="shared" si="72"/>
        <v>89.232518835604566</v>
      </c>
      <c r="N342" s="117"/>
      <c r="O342" s="38">
        <f t="shared" si="73"/>
        <v>2.5701365018794853</v>
      </c>
      <c r="P342" s="37">
        <f t="shared" si="74"/>
        <v>2.9500768358225646</v>
      </c>
      <c r="Q342" s="37">
        <f t="shared" si="75"/>
        <v>1.9248280299898597</v>
      </c>
      <c r="R342" s="39">
        <f t="shared" si="76"/>
        <v>13.384877825340684</v>
      </c>
    </row>
    <row r="343" spans="2:18" customFormat="1" x14ac:dyDescent="0.25">
      <c r="B343" s="19" t="s">
        <v>1082</v>
      </c>
      <c r="C343" s="3" t="s">
        <v>812</v>
      </c>
      <c r="D343" s="3">
        <v>6.666666666666667</v>
      </c>
      <c r="E343" s="3">
        <v>20.205631461581095</v>
      </c>
      <c r="F343" s="3">
        <v>600</v>
      </c>
      <c r="G343" s="4">
        <v>15.15</v>
      </c>
      <c r="H343" s="7"/>
      <c r="I343" s="7"/>
      <c r="J343" s="38">
        <f t="shared" ref="J343:J406" si="77">EXP(2.293225 -4.118555/D343+ 0.052407*E343-0.000131*F343)</f>
        <v>14.235776644024835</v>
      </c>
      <c r="K343" s="37">
        <f t="shared" ref="K343:K406" si="78">EXP(LN(E343) -3.891677 * (1/D343- 0.1))</f>
        <v>16.632814160066268</v>
      </c>
      <c r="L343" s="37">
        <f t="shared" ref="L343:L406" si="79">EXP(0.613447 -7.899548/D343+ 0.09739*E343+ 0.001207*F343)</f>
        <v>8.3356479200732938</v>
      </c>
      <c r="M343" s="39">
        <f t="shared" ref="M343:M406" si="80">EXP(1.605596 -12.336335/D343+ 0.166684*E343+ 0.001142*F343)</f>
        <v>45.073803520415133</v>
      </c>
      <c r="N343" s="117"/>
      <c r="O343" s="38">
        <f t="shared" si="73"/>
        <v>2.1353664966037251</v>
      </c>
      <c r="P343" s="37">
        <f t="shared" si="74"/>
        <v>2.49492212400994</v>
      </c>
      <c r="Q343" s="37">
        <f t="shared" si="75"/>
        <v>1.250347188010994</v>
      </c>
      <c r="R343" s="39">
        <f t="shared" si="76"/>
        <v>6.7610705280622696</v>
      </c>
    </row>
    <row r="344" spans="2:18" customFormat="1" x14ac:dyDescent="0.25">
      <c r="B344" s="19" t="s">
        <v>1082</v>
      </c>
      <c r="C344" s="3" t="s">
        <v>813</v>
      </c>
      <c r="D344" s="3">
        <v>6.666666666666667</v>
      </c>
      <c r="E344" s="3">
        <v>21.843925904411996</v>
      </c>
      <c r="F344" s="3">
        <v>640</v>
      </c>
      <c r="G344" s="4">
        <v>19.39</v>
      </c>
      <c r="H344" s="7"/>
      <c r="I344" s="7"/>
      <c r="J344" s="38">
        <f t="shared" si="77"/>
        <v>15.430967622454414</v>
      </c>
      <c r="K344" s="37">
        <f t="shared" si="78"/>
        <v>17.981420713585155</v>
      </c>
      <c r="L344" s="37">
        <f t="shared" si="79"/>
        <v>10.261250812181515</v>
      </c>
      <c r="M344" s="39">
        <f t="shared" si="80"/>
        <v>61.995307422758735</v>
      </c>
      <c r="N344" s="117"/>
      <c r="O344" s="38">
        <f t="shared" si="73"/>
        <v>2.3146451433681619</v>
      </c>
      <c r="P344" s="37">
        <f t="shared" si="74"/>
        <v>2.6972131070377734</v>
      </c>
      <c r="Q344" s="37">
        <f t="shared" si="75"/>
        <v>1.5391876218272271</v>
      </c>
      <c r="R344" s="39">
        <f t="shared" si="76"/>
        <v>9.2992961134138099</v>
      </c>
    </row>
    <row r="345" spans="2:18" customFormat="1" x14ac:dyDescent="0.25">
      <c r="B345" s="19" t="s">
        <v>1082</v>
      </c>
      <c r="C345" s="3" t="s">
        <v>814</v>
      </c>
      <c r="D345" s="3">
        <v>6.666666666666667</v>
      </c>
      <c r="E345" s="3">
        <v>20.833644331332941</v>
      </c>
      <c r="F345" s="3">
        <v>600</v>
      </c>
      <c r="G345" s="4">
        <v>16.55</v>
      </c>
      <c r="H345" s="7"/>
      <c r="I345" s="7"/>
      <c r="J345" s="38">
        <f t="shared" si="77"/>
        <v>14.712103884301953</v>
      </c>
      <c r="K345" s="37">
        <f t="shared" si="78"/>
        <v>17.149780005581842</v>
      </c>
      <c r="L345" s="37">
        <f t="shared" si="79"/>
        <v>8.8613880880740012</v>
      </c>
      <c r="M345" s="39">
        <f t="shared" si="80"/>
        <v>50.047918762205086</v>
      </c>
      <c r="N345" s="117"/>
      <c r="O345" s="38">
        <f t="shared" si="73"/>
        <v>2.2068155826452931</v>
      </c>
      <c r="P345" s="37">
        <f t="shared" si="74"/>
        <v>2.5724670008372761</v>
      </c>
      <c r="Q345" s="37">
        <f t="shared" si="75"/>
        <v>1.3292082132111001</v>
      </c>
      <c r="R345" s="39">
        <f t="shared" si="76"/>
        <v>7.5071878143307629</v>
      </c>
    </row>
    <row r="346" spans="2:18" customFormat="1" x14ac:dyDescent="0.25">
      <c r="B346" s="19" t="s">
        <v>1082</v>
      </c>
      <c r="C346" s="3" t="s">
        <v>815</v>
      </c>
      <c r="D346" s="3">
        <v>6.666666666666667</v>
      </c>
      <c r="E346" s="3">
        <v>20.123716739439551</v>
      </c>
      <c r="F346" s="3">
        <v>700</v>
      </c>
      <c r="G346" s="4">
        <v>15.27</v>
      </c>
      <c r="H346" s="7"/>
      <c r="I346" s="7"/>
      <c r="J346" s="38">
        <f t="shared" si="77"/>
        <v>13.990315960532895</v>
      </c>
      <c r="K346" s="37">
        <f t="shared" si="78"/>
        <v>16.565383832390324</v>
      </c>
      <c r="L346" s="37">
        <f t="shared" si="79"/>
        <v>9.330266453627889</v>
      </c>
      <c r="M346" s="39">
        <f t="shared" si="80"/>
        <v>49.841469131286743</v>
      </c>
      <c r="N346" s="117"/>
      <c r="O346" s="38">
        <f t="shared" si="73"/>
        <v>2.098547394079934</v>
      </c>
      <c r="P346" s="37">
        <f t="shared" si="74"/>
        <v>2.4848075748585488</v>
      </c>
      <c r="Q346" s="37">
        <f t="shared" si="75"/>
        <v>1.3995399680441833</v>
      </c>
      <c r="R346" s="39">
        <f t="shared" si="76"/>
        <v>7.476220369693011</v>
      </c>
    </row>
    <row r="347" spans="2:18" customFormat="1" x14ac:dyDescent="0.25">
      <c r="B347" s="19" t="s">
        <v>1082</v>
      </c>
      <c r="C347" s="3" t="s">
        <v>816</v>
      </c>
      <c r="D347" s="3">
        <v>10.75</v>
      </c>
      <c r="E347" s="3">
        <v>17.499771089378747</v>
      </c>
      <c r="F347" s="3">
        <v>820</v>
      </c>
      <c r="G347" s="4">
        <v>15.37</v>
      </c>
      <c r="H347" s="7"/>
      <c r="I347" s="7"/>
      <c r="J347" s="38">
        <f t="shared" si="77"/>
        <v>15.177197061789547</v>
      </c>
      <c r="K347" s="37">
        <f t="shared" si="78"/>
        <v>17.981420585385376</v>
      </c>
      <c r="L347" s="37">
        <f t="shared" si="79"/>
        <v>13.100469011568077</v>
      </c>
      <c r="M347" s="39">
        <f t="shared" si="80"/>
        <v>74.54491262362157</v>
      </c>
      <c r="N347" s="117"/>
      <c r="O347" s="38">
        <f t="shared" si="73"/>
        <v>1.4118322848176323</v>
      </c>
      <c r="P347" s="37">
        <f t="shared" si="74"/>
        <v>1.672690287012593</v>
      </c>
      <c r="Q347" s="37">
        <f t="shared" si="75"/>
        <v>1.2186482801458676</v>
      </c>
      <c r="R347" s="39">
        <f t="shared" si="76"/>
        <v>6.9344104766159598</v>
      </c>
    </row>
    <row r="348" spans="2:18" customFormat="1" x14ac:dyDescent="0.25">
      <c r="B348" s="19" t="s">
        <v>1082</v>
      </c>
      <c r="C348" s="3" t="s">
        <v>817</v>
      </c>
      <c r="D348" s="3">
        <v>4.583333333333333</v>
      </c>
      <c r="E348" s="3">
        <v>19.688029043443365</v>
      </c>
      <c r="F348" s="3">
        <v>1120</v>
      </c>
      <c r="G348" s="4">
        <v>9.1300000000000008</v>
      </c>
      <c r="H348" s="7"/>
      <c r="I348" s="7"/>
      <c r="J348" s="38">
        <f t="shared" si="77"/>
        <v>9.773764655175702</v>
      </c>
      <c r="K348" s="37">
        <f t="shared" si="78"/>
        <v>12.429657174311508</v>
      </c>
      <c r="L348" s="37">
        <f t="shared" si="79"/>
        <v>8.6639124367536411</v>
      </c>
      <c r="M348" s="39">
        <f t="shared" si="80"/>
        <v>32.289801362448209</v>
      </c>
      <c r="N348" s="117"/>
      <c r="O348" s="38">
        <f t="shared" si="73"/>
        <v>2.1324577429474258</v>
      </c>
      <c r="P348" s="37">
        <f t="shared" si="74"/>
        <v>2.7119252016679654</v>
      </c>
      <c r="Q348" s="37">
        <f t="shared" si="75"/>
        <v>1.8903081680189764</v>
      </c>
      <c r="R348" s="39">
        <f t="shared" si="76"/>
        <v>7.045047569988701</v>
      </c>
    </row>
    <row r="349" spans="2:18" customFormat="1" x14ac:dyDescent="0.25">
      <c r="B349" s="19" t="s">
        <v>1082</v>
      </c>
      <c r="C349" s="3" t="s">
        <v>818</v>
      </c>
      <c r="D349" s="3">
        <v>10.75</v>
      </c>
      <c r="E349" s="3">
        <v>14.874805425971939</v>
      </c>
      <c r="F349" s="3">
        <v>1120</v>
      </c>
      <c r="G349" s="4">
        <v>13.05</v>
      </c>
      <c r="H349" s="7"/>
      <c r="I349" s="7"/>
      <c r="J349" s="38">
        <f t="shared" si="77"/>
        <v>12.716845509372721</v>
      </c>
      <c r="K349" s="37">
        <f t="shared" si="78"/>
        <v>15.284207497577572</v>
      </c>
      <c r="L349" s="37">
        <f t="shared" si="79"/>
        <v>14.57201088340077</v>
      </c>
      <c r="M349" s="39">
        <f t="shared" si="80"/>
        <v>67.79320855413691</v>
      </c>
      <c r="N349" s="117"/>
      <c r="O349" s="38">
        <f t="shared" si="73"/>
        <v>1.1829623729649044</v>
      </c>
      <c r="P349" s="37">
        <f t="shared" si="74"/>
        <v>1.4217867439607044</v>
      </c>
      <c r="Q349" s="37">
        <f t="shared" si="75"/>
        <v>1.3555358961303041</v>
      </c>
      <c r="R349" s="39">
        <f t="shared" si="76"/>
        <v>6.3063449817801773</v>
      </c>
    </row>
    <row r="350" spans="2:18" customFormat="1" x14ac:dyDescent="0.25">
      <c r="B350" s="19" t="s">
        <v>1082</v>
      </c>
      <c r="C350" s="3" t="s">
        <v>819</v>
      </c>
      <c r="D350" s="3">
        <v>4.666666666666667</v>
      </c>
      <c r="E350" s="3">
        <v>14.903253983539454</v>
      </c>
      <c r="F350" s="3">
        <v>840</v>
      </c>
      <c r="G350" s="4">
        <v>6.55</v>
      </c>
      <c r="H350" s="7"/>
      <c r="I350" s="7"/>
      <c r="J350" s="38">
        <f t="shared" si="77"/>
        <v>8.0178662391873559</v>
      </c>
      <c r="K350" s="37">
        <f t="shared" si="78"/>
        <v>9.5526298309348903</v>
      </c>
      <c r="L350" s="37">
        <f t="shared" si="79"/>
        <v>3.9988012141627594</v>
      </c>
      <c r="M350" s="39">
        <f t="shared" si="80"/>
        <v>11.084077619846786</v>
      </c>
      <c r="N350" s="117"/>
      <c r="O350" s="38">
        <f t="shared" si="73"/>
        <v>1.7181141941115761</v>
      </c>
      <c r="P350" s="37">
        <f t="shared" si="74"/>
        <v>2.0469921066289047</v>
      </c>
      <c r="Q350" s="37">
        <f t="shared" si="75"/>
        <v>0.85688597446344839</v>
      </c>
      <c r="R350" s="39">
        <f t="shared" si="76"/>
        <v>2.3751594899671682</v>
      </c>
    </row>
    <row r="351" spans="2:18" customFormat="1" x14ac:dyDescent="0.25">
      <c r="B351" s="19" t="s">
        <v>1082</v>
      </c>
      <c r="C351" s="3" t="s">
        <v>820</v>
      </c>
      <c r="D351" s="3">
        <v>4.666666666666667</v>
      </c>
      <c r="E351" s="3">
        <v>14.727921583733108</v>
      </c>
      <c r="F351" s="3">
        <v>860</v>
      </c>
      <c r="G351" s="4">
        <v>5.28</v>
      </c>
      <c r="H351" s="7"/>
      <c r="I351" s="7"/>
      <c r="J351" s="38">
        <f t="shared" si="77"/>
        <v>7.9237429306113878</v>
      </c>
      <c r="K351" s="37">
        <f t="shared" si="78"/>
        <v>9.4402459505709508</v>
      </c>
      <c r="L351" s="37">
        <f t="shared" si="79"/>
        <v>4.0271502721456951</v>
      </c>
      <c r="M351" s="39">
        <f t="shared" si="80"/>
        <v>11.013530078769035</v>
      </c>
      <c r="N351" s="117"/>
      <c r="O351" s="38">
        <f t="shared" si="73"/>
        <v>1.6979449137024401</v>
      </c>
      <c r="P351" s="37">
        <f t="shared" si="74"/>
        <v>2.0229098465509181</v>
      </c>
      <c r="Q351" s="37">
        <f t="shared" si="75"/>
        <v>0.86296077260264892</v>
      </c>
      <c r="R351" s="39">
        <f t="shared" si="76"/>
        <v>2.3600421597362216</v>
      </c>
    </row>
    <row r="352" spans="2:18" customFormat="1" x14ac:dyDescent="0.25">
      <c r="B352" s="19" t="s">
        <v>1082</v>
      </c>
      <c r="C352" s="3" t="s">
        <v>821</v>
      </c>
      <c r="D352" s="3">
        <v>4.666666666666667</v>
      </c>
      <c r="E352" s="3">
        <v>13.746060144817564</v>
      </c>
      <c r="F352" s="3">
        <v>1040</v>
      </c>
      <c r="G352" s="4">
        <v>6.28</v>
      </c>
      <c r="H352" s="7"/>
      <c r="I352" s="7"/>
      <c r="J352" s="38">
        <f t="shared" si="77"/>
        <v>7.3509332210075957</v>
      </c>
      <c r="K352" s="37">
        <f t="shared" si="78"/>
        <v>8.8108962205328858</v>
      </c>
      <c r="L352" s="37">
        <f t="shared" si="79"/>
        <v>4.5480360926219054</v>
      </c>
      <c r="M352" s="39">
        <f t="shared" si="80"/>
        <v>11.484794373193164</v>
      </c>
      <c r="N352" s="117"/>
      <c r="O352" s="38">
        <f t="shared" si="73"/>
        <v>1.5751999759301989</v>
      </c>
      <c r="P352" s="37">
        <f t="shared" si="74"/>
        <v>1.8880491901141896</v>
      </c>
      <c r="Q352" s="37">
        <f t="shared" si="75"/>
        <v>0.97457916270469391</v>
      </c>
      <c r="R352" s="39">
        <f t="shared" si="76"/>
        <v>2.4610273656842492</v>
      </c>
    </row>
    <row r="353" spans="2:18" customFormat="1" x14ac:dyDescent="0.25">
      <c r="B353" s="19" t="s">
        <v>1082</v>
      </c>
      <c r="C353" s="3" t="s">
        <v>822</v>
      </c>
      <c r="D353" s="3">
        <v>4.666666666666667</v>
      </c>
      <c r="E353" s="3">
        <v>11.992736146754105</v>
      </c>
      <c r="F353" s="3">
        <v>1160</v>
      </c>
      <c r="G353" s="4">
        <v>4.5599999999999996</v>
      </c>
      <c r="H353" s="7"/>
      <c r="I353" s="7"/>
      <c r="J353" s="38">
        <f t="shared" si="77"/>
        <v>6.6009978252105332</v>
      </c>
      <c r="K353" s="37">
        <f t="shared" si="78"/>
        <v>7.6870574168934898</v>
      </c>
      <c r="L353" s="37">
        <f t="shared" si="79"/>
        <v>4.4316824061630546</v>
      </c>
      <c r="M353" s="39">
        <f t="shared" si="80"/>
        <v>9.833676523294864</v>
      </c>
      <c r="N353" s="117"/>
      <c r="O353" s="38">
        <f t="shared" si="73"/>
        <v>1.4144995339736857</v>
      </c>
      <c r="P353" s="37">
        <f t="shared" si="74"/>
        <v>1.6472265893343192</v>
      </c>
      <c r="Q353" s="37">
        <f t="shared" si="75"/>
        <v>0.94964622989208303</v>
      </c>
      <c r="R353" s="39">
        <f t="shared" si="76"/>
        <v>2.1072163978488994</v>
      </c>
    </row>
    <row r="354" spans="2:18" customFormat="1" x14ac:dyDescent="0.25">
      <c r="B354" s="19" t="s">
        <v>1082</v>
      </c>
      <c r="C354" s="3" t="s">
        <v>823</v>
      </c>
      <c r="D354" s="3">
        <v>4.666666666666667</v>
      </c>
      <c r="E354" s="3">
        <v>14.833121023616918</v>
      </c>
      <c r="F354" s="3">
        <v>940</v>
      </c>
      <c r="G354" s="4">
        <v>6.14</v>
      </c>
      <c r="H354" s="7"/>
      <c r="I354" s="7"/>
      <c r="J354" s="38">
        <f t="shared" si="77"/>
        <v>7.8844847562894902</v>
      </c>
      <c r="K354" s="37">
        <f t="shared" si="78"/>
        <v>9.5076762787893152</v>
      </c>
      <c r="L354" s="37">
        <f t="shared" si="79"/>
        <v>4.4810812635453114</v>
      </c>
      <c r="M354" s="39">
        <f t="shared" si="80"/>
        <v>12.280585338169264</v>
      </c>
      <c r="N354" s="117"/>
      <c r="O354" s="38">
        <f t="shared" si="73"/>
        <v>1.6895324477763192</v>
      </c>
      <c r="P354" s="37">
        <f t="shared" si="74"/>
        <v>2.0373592025977101</v>
      </c>
      <c r="Q354" s="37">
        <f t="shared" si="75"/>
        <v>0.96023169933113806</v>
      </c>
      <c r="R354" s="39">
        <f t="shared" si="76"/>
        <v>2.6315540010362706</v>
      </c>
    </row>
    <row r="355" spans="2:18" customFormat="1" x14ac:dyDescent="0.25">
      <c r="B355" s="19" t="s">
        <v>1082</v>
      </c>
      <c r="C355" s="3" t="s">
        <v>824</v>
      </c>
      <c r="D355" s="3">
        <v>3.0833333333333335</v>
      </c>
      <c r="E355" s="3">
        <v>20.986342920279782</v>
      </c>
      <c r="F355" s="3">
        <v>620</v>
      </c>
      <c r="G355" s="4">
        <v>6.07</v>
      </c>
      <c r="H355" s="7"/>
      <c r="I355" s="7"/>
      <c r="J355" s="38">
        <f t="shared" si="77"/>
        <v>7.2144698153192053</v>
      </c>
      <c r="K355" s="37">
        <f t="shared" si="78"/>
        <v>8.7659427890878927</v>
      </c>
      <c r="L355" s="37">
        <f t="shared" si="79"/>
        <v>2.324793852317701</v>
      </c>
      <c r="M355" s="39">
        <f t="shared" si="80"/>
        <v>6.1150324136907006</v>
      </c>
      <c r="N355" s="117"/>
      <c r="O355" s="38">
        <f t="shared" si="73"/>
        <v>2.339828048211634</v>
      </c>
      <c r="P355" s="37">
        <f t="shared" si="74"/>
        <v>2.8430084721366136</v>
      </c>
      <c r="Q355" s="37">
        <f t="shared" si="75"/>
        <v>0.75398719534628134</v>
      </c>
      <c r="R355" s="39">
        <f t="shared" si="76"/>
        <v>1.9832537557915786</v>
      </c>
    </row>
    <row r="356" spans="2:18" customFormat="1" x14ac:dyDescent="0.25">
      <c r="B356" s="19" t="s">
        <v>1082</v>
      </c>
      <c r="C356" s="3" t="s">
        <v>825</v>
      </c>
      <c r="D356" s="3">
        <v>5.583333333333333</v>
      </c>
      <c r="E356" s="3">
        <v>10.335889847627236</v>
      </c>
      <c r="F356" s="3">
        <v>1110</v>
      </c>
      <c r="G356" s="4">
        <v>5.2</v>
      </c>
      <c r="H356" s="7"/>
      <c r="I356" s="7"/>
      <c r="J356" s="38">
        <f t="shared" si="77"/>
        <v>7.0416064809428054</v>
      </c>
      <c r="K356" s="37">
        <f t="shared" si="78"/>
        <v>7.5971502791576233</v>
      </c>
      <c r="L356" s="37">
        <f t="shared" si="79"/>
        <v>4.6879008126981079</v>
      </c>
      <c r="M356" s="39">
        <f t="shared" si="80"/>
        <v>10.875914088322302</v>
      </c>
      <c r="N356" s="117"/>
      <c r="O356" s="38">
        <f t="shared" si="73"/>
        <v>1.2611832503181144</v>
      </c>
      <c r="P356" s="37">
        <f t="shared" si="74"/>
        <v>1.3606836320879325</v>
      </c>
      <c r="Q356" s="37">
        <f t="shared" si="75"/>
        <v>0.83962402615488507</v>
      </c>
      <c r="R356" s="39">
        <f t="shared" si="76"/>
        <v>1.947924911341308</v>
      </c>
    </row>
    <row r="357" spans="2:18" customFormat="1" x14ac:dyDescent="0.25">
      <c r="B357" s="19" t="s">
        <v>1082</v>
      </c>
      <c r="C357" s="3" t="s">
        <v>826</v>
      </c>
      <c r="D357" s="3">
        <v>5.833333333333333</v>
      </c>
      <c r="E357" s="3">
        <v>13.801008254609878</v>
      </c>
      <c r="F357" s="3">
        <v>800</v>
      </c>
      <c r="G357" s="4">
        <v>7.46</v>
      </c>
      <c r="H357" s="7"/>
      <c r="I357" s="7"/>
      <c r="J357" s="38">
        <f t="shared" si="77"/>
        <v>9.0762075948336296</v>
      </c>
      <c r="K357" s="37">
        <f t="shared" si="78"/>
        <v>10.451700817796388</v>
      </c>
      <c r="L357" s="37">
        <f t="shared" si="79"/>
        <v>4.8014548481025283</v>
      </c>
      <c r="M357" s="39">
        <f t="shared" si="80"/>
        <v>14.95137059451138</v>
      </c>
      <c r="N357" s="117"/>
      <c r="O357" s="38">
        <f t="shared" si="73"/>
        <v>1.5559213019714795</v>
      </c>
      <c r="P357" s="37">
        <f t="shared" si="74"/>
        <v>1.7917201401936667</v>
      </c>
      <c r="Q357" s="37">
        <f t="shared" si="75"/>
        <v>0.82310654538900485</v>
      </c>
      <c r="R357" s="39">
        <f t="shared" si="76"/>
        <v>2.5630921019162365</v>
      </c>
    </row>
    <row r="358" spans="2:18" customFormat="1" x14ac:dyDescent="0.25">
      <c r="B358" s="19" t="s">
        <v>1082</v>
      </c>
      <c r="C358" s="3" t="s">
        <v>827</v>
      </c>
      <c r="D358" s="3">
        <v>5.833333333333333</v>
      </c>
      <c r="E358" s="3">
        <v>8.5180416539205037</v>
      </c>
      <c r="F358" s="3">
        <v>960</v>
      </c>
      <c r="G358" s="4">
        <v>6.11</v>
      </c>
      <c r="H358" s="7"/>
      <c r="I358" s="7"/>
      <c r="J358" s="38">
        <f t="shared" si="77"/>
        <v>6.7384640214247176</v>
      </c>
      <c r="K358" s="37">
        <f t="shared" si="78"/>
        <v>6.4508346982958322</v>
      </c>
      <c r="L358" s="37">
        <f t="shared" si="79"/>
        <v>3.4817354015849524</v>
      </c>
      <c r="M358" s="39">
        <f t="shared" si="80"/>
        <v>7.4404919526559183</v>
      </c>
      <c r="N358" s="117"/>
      <c r="O358" s="38">
        <f t="shared" si="73"/>
        <v>1.155165260815666</v>
      </c>
      <c r="P358" s="37">
        <f t="shared" si="74"/>
        <v>1.1058573768507141</v>
      </c>
      <c r="Q358" s="37">
        <f t="shared" si="75"/>
        <v>0.59686892598599184</v>
      </c>
      <c r="R358" s="39">
        <f t="shared" si="76"/>
        <v>1.275512906169586</v>
      </c>
    </row>
    <row r="359" spans="2:18" customFormat="1" x14ac:dyDescent="0.25">
      <c r="B359" s="19" t="s">
        <v>1082</v>
      </c>
      <c r="C359" s="3" t="s">
        <v>828</v>
      </c>
      <c r="D359" s="3">
        <v>5.833333333333333</v>
      </c>
      <c r="E359" s="3">
        <v>8.636760004497793</v>
      </c>
      <c r="F359" s="3">
        <v>1020</v>
      </c>
      <c r="G359" s="4">
        <v>6.55</v>
      </c>
      <c r="H359" s="7"/>
      <c r="I359" s="7"/>
      <c r="J359" s="38">
        <f t="shared" si="77"/>
        <v>6.7274332496509199</v>
      </c>
      <c r="K359" s="37">
        <f t="shared" si="78"/>
        <v>6.5407418021048329</v>
      </c>
      <c r="L359" s="37">
        <f t="shared" si="79"/>
        <v>3.7867677858067488</v>
      </c>
      <c r="M359" s="39">
        <f t="shared" si="80"/>
        <v>8.1274353515172617</v>
      </c>
      <c r="N359" s="117"/>
      <c r="O359" s="38">
        <f t="shared" si="73"/>
        <v>1.1532742713687292</v>
      </c>
      <c r="P359" s="37">
        <f t="shared" si="74"/>
        <v>1.1212700232179713</v>
      </c>
      <c r="Q359" s="37">
        <f t="shared" si="75"/>
        <v>0.64916019185258556</v>
      </c>
      <c r="R359" s="39">
        <f t="shared" si="76"/>
        <v>1.3932746316886735</v>
      </c>
    </row>
    <row r="360" spans="2:18" customFormat="1" x14ac:dyDescent="0.25">
      <c r="B360" s="19" t="s">
        <v>1082</v>
      </c>
      <c r="C360" s="3" t="s">
        <v>829</v>
      </c>
      <c r="D360" s="3">
        <v>5.833333333333333</v>
      </c>
      <c r="E360" s="3">
        <v>8.7554783550750841</v>
      </c>
      <c r="F360" s="3">
        <v>1020</v>
      </c>
      <c r="G360" s="4">
        <v>5.91</v>
      </c>
      <c r="H360" s="7"/>
      <c r="I360" s="7"/>
      <c r="J360" s="38">
        <f t="shared" si="77"/>
        <v>6.7694196140281058</v>
      </c>
      <c r="K360" s="37">
        <f t="shared" si="78"/>
        <v>6.6306489059138345</v>
      </c>
      <c r="L360" s="37">
        <f t="shared" si="79"/>
        <v>3.8308044045184877</v>
      </c>
      <c r="M360" s="39">
        <f t="shared" si="80"/>
        <v>8.2898665260712789</v>
      </c>
      <c r="N360" s="117"/>
      <c r="O360" s="38">
        <f t="shared" si="73"/>
        <v>1.1604719338333895</v>
      </c>
      <c r="P360" s="37">
        <f t="shared" si="74"/>
        <v>1.1366826695852288</v>
      </c>
      <c r="Q360" s="37">
        <f t="shared" si="75"/>
        <v>0.65670932648888369</v>
      </c>
      <c r="R360" s="39">
        <f t="shared" si="76"/>
        <v>1.4211199758979336</v>
      </c>
    </row>
    <row r="361" spans="2:18" customFormat="1" x14ac:dyDescent="0.25">
      <c r="B361" s="19" t="s">
        <v>1082</v>
      </c>
      <c r="C361" s="3" t="s">
        <v>830</v>
      </c>
      <c r="D361" s="3">
        <v>3.8333333333333335</v>
      </c>
      <c r="E361" s="3">
        <v>10.509090381896639</v>
      </c>
      <c r="F361" s="3">
        <v>960</v>
      </c>
      <c r="G361" s="4">
        <v>4.5199999999999996</v>
      </c>
      <c r="H361" s="7"/>
      <c r="I361" s="7"/>
      <c r="J361" s="38">
        <f t="shared" si="77"/>
        <v>5.1748442778923138</v>
      </c>
      <c r="K361" s="37">
        <f t="shared" si="78"/>
        <v>5.6191940509518012</v>
      </c>
      <c r="L361" s="37">
        <f t="shared" si="79"/>
        <v>2.0852644049138327</v>
      </c>
      <c r="M361" s="39">
        <f t="shared" si="80"/>
        <v>3.4398878647237514</v>
      </c>
      <c r="N361" s="117"/>
      <c r="O361" s="38">
        <f t="shared" si="73"/>
        <v>1.349959376841473</v>
      </c>
      <c r="P361" s="37">
        <f t="shared" si="74"/>
        <v>1.4658767089439482</v>
      </c>
      <c r="Q361" s="37">
        <f t="shared" si="75"/>
        <v>0.54398201867317375</v>
      </c>
      <c r="R361" s="39">
        <f t="shared" si="76"/>
        <v>0.89736205166706551</v>
      </c>
    </row>
    <row r="362" spans="2:18" customFormat="1" x14ac:dyDescent="0.25">
      <c r="B362" s="19" t="s">
        <v>1082</v>
      </c>
      <c r="C362" s="3" t="s">
        <v>831</v>
      </c>
      <c r="D362" s="3">
        <v>3.8333333333333335</v>
      </c>
      <c r="E362" s="3">
        <v>11.475926697031131</v>
      </c>
      <c r="F362" s="3">
        <v>960</v>
      </c>
      <c r="G362" s="4">
        <v>4.43</v>
      </c>
      <c r="H362" s="7"/>
      <c r="I362" s="7"/>
      <c r="J362" s="38">
        <f t="shared" si="77"/>
        <v>5.4438048548695415</v>
      </c>
      <c r="K362" s="37">
        <f t="shared" si="78"/>
        <v>6.1361599036393661</v>
      </c>
      <c r="L362" s="37">
        <f t="shared" si="79"/>
        <v>2.2911545225732088</v>
      </c>
      <c r="M362" s="39">
        <f t="shared" si="80"/>
        <v>4.041415564045721</v>
      </c>
      <c r="N362" s="117"/>
      <c r="O362" s="38">
        <f t="shared" si="73"/>
        <v>1.4201230056181411</v>
      </c>
      <c r="P362" s="37">
        <f t="shared" si="74"/>
        <v>1.6007373661667912</v>
      </c>
      <c r="Q362" s="37">
        <f t="shared" si="75"/>
        <v>0.59769248414953269</v>
      </c>
      <c r="R362" s="39">
        <f t="shared" si="76"/>
        <v>1.0542823210554055</v>
      </c>
    </row>
    <row r="363" spans="2:18" customFormat="1" x14ac:dyDescent="0.25">
      <c r="B363" s="19" t="s">
        <v>1082</v>
      </c>
      <c r="C363" s="3" t="s">
        <v>832</v>
      </c>
      <c r="D363" s="3">
        <v>3.8333333333333335</v>
      </c>
      <c r="E363" s="3">
        <v>10.088726766620773</v>
      </c>
      <c r="F363" s="3">
        <v>700</v>
      </c>
      <c r="G363" s="4">
        <v>5.49</v>
      </c>
      <c r="H363" s="7"/>
      <c r="I363" s="7"/>
      <c r="J363" s="38">
        <f t="shared" si="77"/>
        <v>5.2374736357280653</v>
      </c>
      <c r="K363" s="37">
        <f t="shared" si="78"/>
        <v>5.3944262889137278</v>
      </c>
      <c r="L363" s="37">
        <f t="shared" si="79"/>
        <v>1.4624841283098604</v>
      </c>
      <c r="M363" s="39">
        <f t="shared" si="80"/>
        <v>2.3832163538709681</v>
      </c>
      <c r="N363" s="117"/>
      <c r="O363" s="38">
        <f t="shared" si="73"/>
        <v>1.36629747018993</v>
      </c>
      <c r="P363" s="37">
        <f t="shared" si="74"/>
        <v>1.4072416405861898</v>
      </c>
      <c r="Q363" s="37">
        <f t="shared" si="75"/>
        <v>0.38151759868952878</v>
      </c>
      <c r="R363" s="39">
        <f t="shared" si="76"/>
        <v>0.62170861405329603</v>
      </c>
    </row>
    <row r="364" spans="2:18" customFormat="1" x14ac:dyDescent="0.25">
      <c r="B364" s="19" t="s">
        <v>1082</v>
      </c>
      <c r="C364" s="3" t="s">
        <v>833</v>
      </c>
      <c r="D364" s="3">
        <v>3.8333333333333335</v>
      </c>
      <c r="E364" s="3">
        <v>15.049017426875988</v>
      </c>
      <c r="F364" s="3">
        <v>900</v>
      </c>
      <c r="G364" s="4">
        <v>6.64</v>
      </c>
      <c r="H364" s="7"/>
      <c r="I364" s="7"/>
      <c r="J364" s="38">
        <f t="shared" si="77"/>
        <v>6.6166764967333211</v>
      </c>
      <c r="K364" s="37">
        <f t="shared" si="78"/>
        <v>8.0466858809629791</v>
      </c>
      <c r="L364" s="37">
        <f t="shared" si="79"/>
        <v>3.0180748312836627</v>
      </c>
      <c r="M364" s="39">
        <f t="shared" si="80"/>
        <v>6.8459146504047634</v>
      </c>
      <c r="N364" s="117"/>
      <c r="O364" s="38">
        <f t="shared" si="73"/>
        <v>1.7260895208869533</v>
      </c>
      <c r="P364" s="37">
        <f t="shared" si="74"/>
        <v>2.0991354472077335</v>
      </c>
      <c r="Q364" s="37">
        <f t="shared" si="75"/>
        <v>0.78732386903052065</v>
      </c>
      <c r="R364" s="39">
        <f t="shared" si="76"/>
        <v>1.7858907783664599</v>
      </c>
    </row>
    <row r="365" spans="2:18" customFormat="1" x14ac:dyDescent="0.25">
      <c r="B365" s="19" t="s">
        <v>1082</v>
      </c>
      <c r="C365" s="3" t="s">
        <v>834</v>
      </c>
      <c r="D365" s="3">
        <v>3.8333333333333299</v>
      </c>
      <c r="E365" s="3">
        <v>11.01352672022769</v>
      </c>
      <c r="F365" s="3">
        <v>520</v>
      </c>
      <c r="G365" s="4">
        <v>4.78</v>
      </c>
      <c r="H365" s="7"/>
      <c r="I365" s="7"/>
      <c r="J365" s="38">
        <f t="shared" si="77"/>
        <v>5.6287378983097875</v>
      </c>
      <c r="K365" s="37">
        <f t="shared" si="78"/>
        <v>5.8889153653974882</v>
      </c>
      <c r="L365" s="37">
        <f t="shared" si="79"/>
        <v>1.2878095026946648</v>
      </c>
      <c r="M365" s="39">
        <f t="shared" si="80"/>
        <v>2.26378986451958</v>
      </c>
      <c r="N365" s="117"/>
      <c r="O365" s="38">
        <f t="shared" si="73"/>
        <v>1.4683664082547285</v>
      </c>
      <c r="P365" s="37">
        <f t="shared" si="74"/>
        <v>1.5362387909732591</v>
      </c>
      <c r="Q365" s="37">
        <f t="shared" si="75"/>
        <v>0.33595030505078244</v>
      </c>
      <c r="R365" s="39">
        <f t="shared" si="76"/>
        <v>0.59055387770076051</v>
      </c>
    </row>
    <row r="366" spans="2:18" customFormat="1" x14ac:dyDescent="0.25">
      <c r="B366" s="19" t="s">
        <v>1082</v>
      </c>
      <c r="C366" s="3" t="s">
        <v>835</v>
      </c>
      <c r="D366" s="3">
        <v>4.75</v>
      </c>
      <c r="E366" s="3">
        <v>15.032372981410669</v>
      </c>
      <c r="F366" s="3">
        <v>1100</v>
      </c>
      <c r="G366" s="4">
        <v>9.5</v>
      </c>
      <c r="H366" s="7"/>
      <c r="I366" s="7"/>
      <c r="J366" s="38">
        <f t="shared" si="77"/>
        <v>7.9237324227191861</v>
      </c>
      <c r="K366" s="37">
        <f t="shared" si="78"/>
        <v>9.7773975870633052</v>
      </c>
      <c r="L366" s="37">
        <f t="shared" si="79"/>
        <v>5.7092465818040541</v>
      </c>
      <c r="M366" s="39">
        <f t="shared" si="80"/>
        <v>15.96388366999328</v>
      </c>
      <c r="N366" s="117"/>
      <c r="O366" s="38">
        <f t="shared" si="73"/>
        <v>1.6681541942566707</v>
      </c>
      <c r="P366" s="37">
        <f t="shared" si="74"/>
        <v>2.0583994920133275</v>
      </c>
      <c r="Q366" s="37">
        <f t="shared" si="75"/>
        <v>1.2019466488008534</v>
      </c>
      <c r="R366" s="39">
        <f t="shared" si="76"/>
        <v>3.3608176147354274</v>
      </c>
    </row>
    <row r="367" spans="2:18" customFormat="1" x14ac:dyDescent="0.25">
      <c r="B367" s="19" t="s">
        <v>1082</v>
      </c>
      <c r="C367" s="3" t="s">
        <v>836</v>
      </c>
      <c r="D367" s="3">
        <v>4.75</v>
      </c>
      <c r="E367" s="3">
        <v>9.6068958363957844</v>
      </c>
      <c r="F367" s="3">
        <v>800</v>
      </c>
      <c r="G367" s="4">
        <v>5.36</v>
      </c>
      <c r="H367" s="7"/>
      <c r="I367" s="7"/>
      <c r="J367" s="38">
        <f t="shared" si="77"/>
        <v>6.2017367858425878</v>
      </c>
      <c r="K367" s="37">
        <f t="shared" si="78"/>
        <v>6.2485437452956285</v>
      </c>
      <c r="L367" s="37">
        <f t="shared" si="79"/>
        <v>2.3433929285962671</v>
      </c>
      <c r="M367" s="39">
        <f t="shared" si="80"/>
        <v>4.587745228239716</v>
      </c>
      <c r="N367" s="117"/>
      <c r="O367" s="38">
        <f t="shared" si="73"/>
        <v>1.3056287970194922</v>
      </c>
      <c r="P367" s="37">
        <f t="shared" si="74"/>
        <v>1.315482893746448</v>
      </c>
      <c r="Q367" s="37">
        <f t="shared" si="75"/>
        <v>0.4933458797044773</v>
      </c>
      <c r="R367" s="39">
        <f t="shared" si="76"/>
        <v>0.96584110068204543</v>
      </c>
    </row>
    <row r="368" spans="2:18" customFormat="1" x14ac:dyDescent="0.25">
      <c r="B368" s="19" t="s">
        <v>1082</v>
      </c>
      <c r="C368" s="3" t="s">
        <v>837</v>
      </c>
      <c r="D368" s="3">
        <v>4.75</v>
      </c>
      <c r="E368" s="3">
        <v>16.829346303326428</v>
      </c>
      <c r="F368" s="3">
        <v>1000</v>
      </c>
      <c r="G368" s="4">
        <v>9.5399999999999991</v>
      </c>
      <c r="H368" s="7"/>
      <c r="I368" s="7"/>
      <c r="J368" s="38">
        <f t="shared" si="77"/>
        <v>8.8210096935387998</v>
      </c>
      <c r="K368" s="37">
        <f t="shared" si="78"/>
        <v>10.94618994229846</v>
      </c>
      <c r="L368" s="37">
        <f t="shared" si="79"/>
        <v>6.0278735271029049</v>
      </c>
      <c r="M368" s="39">
        <f t="shared" si="80"/>
        <v>19.214315522243893</v>
      </c>
      <c r="N368" s="117"/>
      <c r="O368" s="38">
        <f t="shared" si="73"/>
        <v>1.8570546723239578</v>
      </c>
      <c r="P368" s="37">
        <f t="shared" si="74"/>
        <v>2.3044610404838863</v>
      </c>
      <c r="Q368" s="37">
        <f t="shared" si="75"/>
        <v>1.2690260057058746</v>
      </c>
      <c r="R368" s="39">
        <f t="shared" si="76"/>
        <v>4.0451190573145039</v>
      </c>
    </row>
    <row r="369" spans="2:18" customFormat="1" x14ac:dyDescent="0.25">
      <c r="B369" s="19" t="s">
        <v>1082</v>
      </c>
      <c r="C369" s="3" t="s">
        <v>838</v>
      </c>
      <c r="D369" s="3">
        <v>4.75</v>
      </c>
      <c r="E369" s="3">
        <v>14.514015292396509</v>
      </c>
      <c r="F369" s="3">
        <v>780</v>
      </c>
      <c r="G369" s="4">
        <v>9.8000000000000007</v>
      </c>
      <c r="H369" s="7"/>
      <c r="I369" s="7"/>
      <c r="J369" s="38">
        <f t="shared" si="77"/>
        <v>8.0415092955671881</v>
      </c>
      <c r="K369" s="37">
        <f t="shared" si="78"/>
        <v>9.4402459461300889</v>
      </c>
      <c r="L369" s="37">
        <f t="shared" si="79"/>
        <v>3.689032440728524</v>
      </c>
      <c r="M369" s="39">
        <f t="shared" si="80"/>
        <v>10.160289817653409</v>
      </c>
      <c r="N369" s="117"/>
      <c r="O369" s="38">
        <f t="shared" si="73"/>
        <v>1.6929493253825658</v>
      </c>
      <c r="P369" s="37">
        <f t="shared" si="74"/>
        <v>1.9874201991852818</v>
      </c>
      <c r="Q369" s="37">
        <f t="shared" si="75"/>
        <v>0.77663840857442612</v>
      </c>
      <c r="R369" s="39">
        <f t="shared" si="76"/>
        <v>2.1390083826638757</v>
      </c>
    </row>
    <row r="370" spans="2:18" customFormat="1" x14ac:dyDescent="0.25">
      <c r="B370" s="19" t="s">
        <v>1082</v>
      </c>
      <c r="C370" s="3" t="s">
        <v>839</v>
      </c>
      <c r="D370" s="3">
        <v>4.75</v>
      </c>
      <c r="E370" s="3">
        <v>12.61337043267792</v>
      </c>
      <c r="F370" s="3">
        <v>700</v>
      </c>
      <c r="G370" s="4">
        <v>8.1</v>
      </c>
      <c r="H370" s="7"/>
      <c r="I370" s="7"/>
      <c r="J370" s="38">
        <f t="shared" si="77"/>
        <v>7.355804237354576</v>
      </c>
      <c r="K370" s="37">
        <f t="shared" si="78"/>
        <v>8.2040232627082919</v>
      </c>
      <c r="L370" s="37">
        <f t="shared" si="79"/>
        <v>2.7834757306439672</v>
      </c>
      <c r="M370" s="39">
        <f t="shared" si="80"/>
        <v>6.7552493174220469</v>
      </c>
      <c r="N370" s="117"/>
      <c r="O370" s="38">
        <f t="shared" si="73"/>
        <v>1.548590365758858</v>
      </c>
      <c r="P370" s="37">
        <f t="shared" si="74"/>
        <v>1.7271627921491142</v>
      </c>
      <c r="Q370" s="37">
        <f t="shared" si="75"/>
        <v>0.58599489066188781</v>
      </c>
      <c r="R370" s="39">
        <f t="shared" si="76"/>
        <v>1.4221577510362204</v>
      </c>
    </row>
    <row r="371" spans="2:18" customFormat="1" x14ac:dyDescent="0.25">
      <c r="B371" s="19" t="s">
        <v>1082</v>
      </c>
      <c r="C371" s="3" t="s">
        <v>840</v>
      </c>
      <c r="D371" s="3">
        <v>4.75</v>
      </c>
      <c r="E371" s="3">
        <v>9.7451245534662281</v>
      </c>
      <c r="F371" s="3">
        <v>1020</v>
      </c>
      <c r="G371" s="4">
        <v>6.92</v>
      </c>
      <c r="H371" s="7"/>
      <c r="I371" s="7"/>
      <c r="J371" s="38">
        <f t="shared" si="77"/>
        <v>6.0693622396423192</v>
      </c>
      <c r="K371" s="37">
        <f t="shared" si="78"/>
        <v>6.3384508495444862</v>
      </c>
      <c r="L371" s="37">
        <f t="shared" si="79"/>
        <v>3.0975204711317099</v>
      </c>
      <c r="M371" s="39">
        <f t="shared" si="80"/>
        <v>6.0355632645402455</v>
      </c>
      <c r="N371" s="117"/>
      <c r="O371" s="38">
        <f t="shared" si="73"/>
        <v>1.2777604715036461</v>
      </c>
      <c r="P371" s="37">
        <f t="shared" si="74"/>
        <v>1.3344107051672602</v>
      </c>
      <c r="Q371" s="37">
        <f t="shared" si="75"/>
        <v>0.65210957286983362</v>
      </c>
      <c r="R371" s="39">
        <f t="shared" si="76"/>
        <v>1.2706448977979463</v>
      </c>
    </row>
    <row r="372" spans="2:18" customFormat="1" x14ac:dyDescent="0.25">
      <c r="B372" s="19" t="s">
        <v>1082</v>
      </c>
      <c r="C372" s="3" t="s">
        <v>841</v>
      </c>
      <c r="D372" s="3">
        <v>4.75</v>
      </c>
      <c r="E372" s="3">
        <v>8.50106609983224</v>
      </c>
      <c r="F372" s="3">
        <v>920</v>
      </c>
      <c r="G372" s="4">
        <v>4.53</v>
      </c>
      <c r="H372" s="7"/>
      <c r="I372" s="7"/>
      <c r="J372" s="38">
        <f t="shared" si="77"/>
        <v>5.7612597682941411</v>
      </c>
      <c r="K372" s="37">
        <f t="shared" si="78"/>
        <v>5.529286911304764</v>
      </c>
      <c r="L372" s="37">
        <f t="shared" si="79"/>
        <v>2.432070836720067</v>
      </c>
      <c r="M372" s="39">
        <f t="shared" si="80"/>
        <v>4.3758664411358099</v>
      </c>
      <c r="N372" s="117"/>
      <c r="O372" s="38">
        <f t="shared" si="73"/>
        <v>1.2128967933250823</v>
      </c>
      <c r="P372" s="37">
        <f t="shared" si="74"/>
        <v>1.1640604023799503</v>
      </c>
      <c r="Q372" s="37">
        <f t="shared" si="75"/>
        <v>0.51201491299369828</v>
      </c>
      <c r="R372" s="39">
        <f t="shared" si="76"/>
        <v>0.92123504023911784</v>
      </c>
    </row>
    <row r="373" spans="2:18" customFormat="1" x14ac:dyDescent="0.25">
      <c r="B373" s="19" t="s">
        <v>1082</v>
      </c>
      <c r="C373" s="3" t="s">
        <v>842</v>
      </c>
      <c r="D373" s="3">
        <v>3.9166666666666665</v>
      </c>
      <c r="E373" s="3">
        <v>10.901595049238752</v>
      </c>
      <c r="F373" s="3">
        <v>1000</v>
      </c>
      <c r="G373" s="4">
        <v>5.31</v>
      </c>
      <c r="H373" s="7"/>
      <c r="I373" s="7"/>
      <c r="J373" s="38">
        <f t="shared" si="77"/>
        <v>5.3762920918090034</v>
      </c>
      <c r="K373" s="37">
        <f t="shared" si="78"/>
        <v>5.9563456898720473</v>
      </c>
      <c r="L373" s="37">
        <f t="shared" si="79"/>
        <v>2.3755939002874875</v>
      </c>
      <c r="M373" s="39">
        <f t="shared" si="80"/>
        <v>4.1165478679261236</v>
      </c>
      <c r="N373" s="117"/>
      <c r="O373" s="38">
        <f t="shared" si="73"/>
        <v>1.372670321312937</v>
      </c>
      <c r="P373" s="37">
        <f t="shared" si="74"/>
        <v>1.5207691123077569</v>
      </c>
      <c r="Q373" s="37">
        <f t="shared" si="75"/>
        <v>0.6065346128393585</v>
      </c>
      <c r="R373" s="39">
        <f t="shared" si="76"/>
        <v>1.051033498193904</v>
      </c>
    </row>
    <row r="374" spans="2:18" customFormat="1" x14ac:dyDescent="0.25">
      <c r="B374" s="19" t="s">
        <v>1082</v>
      </c>
      <c r="C374" s="3" t="s">
        <v>843</v>
      </c>
      <c r="D374" s="3">
        <v>3.9166666666666665</v>
      </c>
      <c r="E374" s="3">
        <v>7.4871332036281242</v>
      </c>
      <c r="F374" s="3">
        <v>940</v>
      </c>
      <c r="G374" s="4">
        <v>4.57</v>
      </c>
      <c r="H374" s="7"/>
      <c r="I374" s="7"/>
      <c r="J374" s="38">
        <f t="shared" si="77"/>
        <v>4.5308847630505111</v>
      </c>
      <c r="K374" s="37">
        <f t="shared" si="78"/>
        <v>4.0907732662517455</v>
      </c>
      <c r="L374" s="37">
        <f t="shared" si="79"/>
        <v>1.5845382347823438</v>
      </c>
      <c r="M374" s="39">
        <f t="shared" si="80"/>
        <v>2.1757180711782533</v>
      </c>
      <c r="N374" s="117"/>
      <c r="O374" s="38">
        <f t="shared" si="73"/>
        <v>1.1568216416299177</v>
      </c>
      <c r="P374" s="37">
        <f t="shared" si="74"/>
        <v>1.0444527488302329</v>
      </c>
      <c r="Q374" s="37">
        <f t="shared" si="75"/>
        <v>0.4045629535614495</v>
      </c>
      <c r="R374" s="39">
        <f t="shared" si="76"/>
        <v>0.55550248625827747</v>
      </c>
    </row>
    <row r="375" spans="2:18" customFormat="1" x14ac:dyDescent="0.25">
      <c r="B375" s="19" t="s">
        <v>1082</v>
      </c>
      <c r="C375" s="3" t="s">
        <v>844</v>
      </c>
      <c r="D375" s="3">
        <v>4.75</v>
      </c>
      <c r="E375" s="3">
        <v>8.1209371278885243</v>
      </c>
      <c r="F375" s="3">
        <v>860</v>
      </c>
      <c r="G375" s="4">
        <v>7.55</v>
      </c>
      <c r="H375" s="7"/>
      <c r="I375" s="7"/>
      <c r="J375" s="38">
        <f t="shared" si="77"/>
        <v>5.6921881880721905</v>
      </c>
      <c r="K375" s="37">
        <f t="shared" si="78"/>
        <v>5.2820423746204064</v>
      </c>
      <c r="L375" s="37">
        <f t="shared" si="79"/>
        <v>2.1799508486215777</v>
      </c>
      <c r="M375" s="39">
        <f t="shared" si="80"/>
        <v>3.8352059124725679</v>
      </c>
      <c r="N375" s="117"/>
      <c r="O375" s="38">
        <f t="shared" si="73"/>
        <v>1.1983554080151979</v>
      </c>
      <c r="P375" s="37">
        <f t="shared" si="74"/>
        <v>1.1120089209727171</v>
      </c>
      <c r="Q375" s="37">
        <f t="shared" si="75"/>
        <v>0.45893702076243742</v>
      </c>
      <c r="R375" s="39">
        <f t="shared" si="76"/>
        <v>0.80741177104685635</v>
      </c>
    </row>
    <row r="376" spans="2:18" customFormat="1" x14ac:dyDescent="0.25">
      <c r="B376" s="19" t="s">
        <v>1082</v>
      </c>
      <c r="C376" s="3" t="s">
        <v>845</v>
      </c>
      <c r="D376" s="3">
        <v>3.75</v>
      </c>
      <c r="E376" s="3">
        <v>13.414595764466585</v>
      </c>
      <c r="F376" s="3">
        <v>1000</v>
      </c>
      <c r="G376" s="4">
        <v>5.47</v>
      </c>
      <c r="H376" s="7"/>
      <c r="I376" s="7"/>
      <c r="J376" s="38">
        <f t="shared" si="77"/>
        <v>5.8530470383267739</v>
      </c>
      <c r="K376" s="37">
        <f t="shared" si="78"/>
        <v>7.0127541806748859</v>
      </c>
      <c r="L376" s="37">
        <f t="shared" si="79"/>
        <v>2.7741609695582214</v>
      </c>
      <c r="M376" s="39">
        <f t="shared" si="80"/>
        <v>5.4406859521888542</v>
      </c>
      <c r="N376" s="117"/>
      <c r="O376" s="38">
        <f t="shared" si="73"/>
        <v>1.5608125435538063</v>
      </c>
      <c r="P376" s="37">
        <f t="shared" si="74"/>
        <v>1.8700677815133029</v>
      </c>
      <c r="Q376" s="37">
        <f t="shared" si="75"/>
        <v>0.73977625854885909</v>
      </c>
      <c r="R376" s="39">
        <f t="shared" si="76"/>
        <v>1.4508495872503611</v>
      </c>
    </row>
    <row r="377" spans="2:18" customFormat="1" x14ac:dyDescent="0.25">
      <c r="B377" s="19" t="s">
        <v>1082</v>
      </c>
      <c r="C377" s="3" t="s">
        <v>846</v>
      </c>
      <c r="D377" s="3">
        <v>3.75</v>
      </c>
      <c r="E377" s="3">
        <v>10.232928820330281</v>
      </c>
      <c r="F377" s="3">
        <v>740</v>
      </c>
      <c r="G377" s="4">
        <v>3.9</v>
      </c>
      <c r="H377" s="7"/>
      <c r="I377" s="7"/>
      <c r="J377" s="38">
        <f t="shared" si="77"/>
        <v>5.1257700497829637</v>
      </c>
      <c r="K377" s="37">
        <f t="shared" si="78"/>
        <v>5.3494727403866129</v>
      </c>
      <c r="L377" s="37">
        <f t="shared" si="79"/>
        <v>1.4868589454104502</v>
      </c>
      <c r="M377" s="39">
        <f t="shared" si="80"/>
        <v>2.3789332529379301</v>
      </c>
      <c r="N377" s="117"/>
      <c r="O377" s="38">
        <f t="shared" si="73"/>
        <v>1.366872013275457</v>
      </c>
      <c r="P377" s="37">
        <f t="shared" si="74"/>
        <v>1.4265260641030968</v>
      </c>
      <c r="Q377" s="37">
        <f t="shared" si="75"/>
        <v>0.39649571877612005</v>
      </c>
      <c r="R377" s="39">
        <f t="shared" si="76"/>
        <v>0.63438220078344798</v>
      </c>
    </row>
    <row r="378" spans="2:18" customFormat="1" x14ac:dyDescent="0.25">
      <c r="B378" s="19" t="s">
        <v>1082</v>
      </c>
      <c r="C378" s="3" t="s">
        <v>847</v>
      </c>
      <c r="D378" s="3">
        <v>3.75</v>
      </c>
      <c r="E378" s="3">
        <v>13.629573260692011</v>
      </c>
      <c r="F378" s="3">
        <v>920</v>
      </c>
      <c r="G378" s="4">
        <v>5.51</v>
      </c>
      <c r="H378" s="7"/>
      <c r="I378" s="7"/>
      <c r="J378" s="38">
        <f t="shared" si="77"/>
        <v>5.9817233528471974</v>
      </c>
      <c r="K378" s="37">
        <f t="shared" si="78"/>
        <v>7.125138061775445</v>
      </c>
      <c r="L378" s="37">
        <f t="shared" si="79"/>
        <v>2.5721059689689802</v>
      </c>
      <c r="M378" s="39">
        <f t="shared" si="80"/>
        <v>5.146816952162256</v>
      </c>
      <c r="N378" s="117"/>
      <c r="O378" s="38">
        <f t="shared" si="73"/>
        <v>1.5951262274259193</v>
      </c>
      <c r="P378" s="37">
        <f t="shared" si="74"/>
        <v>1.900036816473452</v>
      </c>
      <c r="Q378" s="37">
        <f t="shared" si="75"/>
        <v>0.68589492505839478</v>
      </c>
      <c r="R378" s="39">
        <f t="shared" si="76"/>
        <v>1.3724845205766016</v>
      </c>
    </row>
    <row r="379" spans="2:18" customFormat="1" x14ac:dyDescent="0.25">
      <c r="B379" s="19" t="s">
        <v>1082</v>
      </c>
      <c r="C379" s="3" t="s">
        <v>848</v>
      </c>
      <c r="D379" s="3">
        <v>3.75</v>
      </c>
      <c r="E379" s="3">
        <v>10.146937821840108</v>
      </c>
      <c r="F379" s="3">
        <v>680</v>
      </c>
      <c r="G379" s="4">
        <v>4.1399999999999997</v>
      </c>
      <c r="H379" s="7"/>
      <c r="I379" s="7"/>
      <c r="J379" s="38">
        <f t="shared" si="77"/>
        <v>5.1429880183826064</v>
      </c>
      <c r="K379" s="37">
        <f t="shared" si="78"/>
        <v>5.3045191879463873</v>
      </c>
      <c r="L379" s="37">
        <f t="shared" si="79"/>
        <v>1.3714535202962297</v>
      </c>
      <c r="M379" s="39">
        <f t="shared" si="80"/>
        <v>2.1897751132945125</v>
      </c>
      <c r="N379" s="117"/>
      <c r="O379" s="38">
        <f t="shared" si="73"/>
        <v>1.3714634715686951</v>
      </c>
      <c r="P379" s="37">
        <f t="shared" si="74"/>
        <v>1.4145384501190366</v>
      </c>
      <c r="Q379" s="37">
        <f t="shared" si="75"/>
        <v>0.36572093874566125</v>
      </c>
      <c r="R379" s="39">
        <f t="shared" si="76"/>
        <v>0.58394003021187002</v>
      </c>
    </row>
    <row r="380" spans="2:18" customFormat="1" x14ac:dyDescent="0.25">
      <c r="B380" s="19" t="s">
        <v>1082</v>
      </c>
      <c r="C380" s="3" t="s">
        <v>849</v>
      </c>
      <c r="D380" s="3">
        <v>4.75</v>
      </c>
      <c r="E380" s="3">
        <v>12.440584536339863</v>
      </c>
      <c r="F380" s="3">
        <v>1000</v>
      </c>
      <c r="G380" s="4">
        <v>6.27</v>
      </c>
      <c r="H380" s="7"/>
      <c r="I380" s="7"/>
      <c r="J380" s="38">
        <f t="shared" si="77"/>
        <v>7.0085757282935965</v>
      </c>
      <c r="K380" s="37">
        <f t="shared" si="78"/>
        <v>8.0916393823972186</v>
      </c>
      <c r="L380" s="37">
        <f t="shared" si="79"/>
        <v>3.9313103439139367</v>
      </c>
      <c r="M380" s="39">
        <f t="shared" si="80"/>
        <v>9.2453362478874475</v>
      </c>
      <c r="N380" s="117"/>
      <c r="O380" s="38">
        <f t="shared" si="73"/>
        <v>1.4754896270091782</v>
      </c>
      <c r="P380" s="37">
        <f t="shared" si="74"/>
        <v>1.7035030278730987</v>
      </c>
      <c r="Q380" s="37">
        <f t="shared" si="75"/>
        <v>0.82764428292924985</v>
      </c>
      <c r="R380" s="39">
        <f t="shared" si="76"/>
        <v>1.9463865785026204</v>
      </c>
    </row>
    <row r="381" spans="2:18" customFormat="1" x14ac:dyDescent="0.25">
      <c r="B381" s="19" t="s">
        <v>1082</v>
      </c>
      <c r="C381" s="3" t="s">
        <v>850</v>
      </c>
      <c r="D381" s="3">
        <v>4.75</v>
      </c>
      <c r="E381" s="3">
        <v>10.505382497353663</v>
      </c>
      <c r="F381" s="3">
        <v>1200</v>
      </c>
      <c r="G381" s="4">
        <v>4.75</v>
      </c>
      <c r="H381" s="7"/>
      <c r="I381" s="7"/>
      <c r="J381" s="38">
        <f t="shared" si="77"/>
        <v>6.1688742757347885</v>
      </c>
      <c r="K381" s="37">
        <f t="shared" si="78"/>
        <v>6.8329399229132051</v>
      </c>
      <c r="L381" s="37">
        <f t="shared" si="79"/>
        <v>4.1450028019708318</v>
      </c>
      <c r="M381" s="39">
        <f t="shared" si="80"/>
        <v>8.4144630614624933</v>
      </c>
      <c r="N381" s="117"/>
      <c r="O381" s="38">
        <f t="shared" si="73"/>
        <v>1.2987103738389028</v>
      </c>
      <c r="P381" s="37">
        <f t="shared" si="74"/>
        <v>1.4385136679817274</v>
      </c>
      <c r="Q381" s="37">
        <f t="shared" si="75"/>
        <v>0.87263216883596462</v>
      </c>
      <c r="R381" s="39">
        <f t="shared" si="76"/>
        <v>1.7714659076763144</v>
      </c>
    </row>
    <row r="382" spans="2:18" customFormat="1" x14ac:dyDescent="0.25">
      <c r="B382" s="19" t="s">
        <v>1082</v>
      </c>
      <c r="C382" s="3" t="s">
        <v>851</v>
      </c>
      <c r="D382" s="3">
        <v>4.75</v>
      </c>
      <c r="E382" s="3">
        <v>9.2613240437196769</v>
      </c>
      <c r="F382" s="3">
        <v>1100</v>
      </c>
      <c r="G382" s="4">
        <v>4.04</v>
      </c>
      <c r="H382" s="7"/>
      <c r="I382" s="7"/>
      <c r="J382" s="38">
        <f t="shared" si="77"/>
        <v>5.855720218562861</v>
      </c>
      <c r="K382" s="37">
        <f t="shared" si="78"/>
        <v>6.0237759846734837</v>
      </c>
      <c r="L382" s="37">
        <f t="shared" si="79"/>
        <v>3.2545193895403224</v>
      </c>
      <c r="M382" s="39">
        <f t="shared" si="80"/>
        <v>6.1006015374168099</v>
      </c>
      <c r="N382" s="117"/>
      <c r="O382" s="38">
        <f t="shared" si="73"/>
        <v>1.2327832039079707</v>
      </c>
      <c r="P382" s="37">
        <f t="shared" si="74"/>
        <v>1.2681633651944175</v>
      </c>
      <c r="Q382" s="37">
        <f t="shared" si="75"/>
        <v>0.68516197674533108</v>
      </c>
      <c r="R382" s="39">
        <f t="shared" si="76"/>
        <v>1.28433716577196</v>
      </c>
    </row>
    <row r="383" spans="2:18" customFormat="1" x14ac:dyDescent="0.25">
      <c r="B383" s="19" t="s">
        <v>1082</v>
      </c>
      <c r="C383" s="3" t="s">
        <v>852</v>
      </c>
      <c r="D383" s="3">
        <v>4.75</v>
      </c>
      <c r="E383" s="3">
        <v>8.7084091754379038</v>
      </c>
      <c r="F383" s="3">
        <v>800</v>
      </c>
      <c r="G383" s="4">
        <v>4.0599999999999996</v>
      </c>
      <c r="H383" s="7"/>
      <c r="I383" s="7"/>
      <c r="J383" s="38">
        <f t="shared" si="77"/>
        <v>5.9164842105887816</v>
      </c>
      <c r="K383" s="37">
        <f t="shared" si="78"/>
        <v>5.6641475676780511</v>
      </c>
      <c r="L383" s="37">
        <f t="shared" si="79"/>
        <v>2.1470530613069694</v>
      </c>
      <c r="M383" s="39">
        <f t="shared" si="80"/>
        <v>3.9496434819443751</v>
      </c>
      <c r="N383" s="117"/>
      <c r="O383" s="38">
        <f t="shared" si="73"/>
        <v>1.2455756232818487</v>
      </c>
      <c r="P383" s="37">
        <f t="shared" si="74"/>
        <v>1.1924521195111686</v>
      </c>
      <c r="Q383" s="37">
        <f t="shared" si="75"/>
        <v>0.45201117080146724</v>
      </c>
      <c r="R383" s="39">
        <f t="shared" si="76"/>
        <v>0.83150389093565791</v>
      </c>
    </row>
    <row r="384" spans="2:18" customFormat="1" x14ac:dyDescent="0.25">
      <c r="B384" s="19" t="s">
        <v>1082</v>
      </c>
      <c r="C384" s="3" t="s">
        <v>853</v>
      </c>
      <c r="D384" s="3">
        <v>3.1666666666666665</v>
      </c>
      <c r="E384" s="3">
        <v>11.711961489744745</v>
      </c>
      <c r="F384" s="3">
        <v>800</v>
      </c>
      <c r="G384" s="4">
        <v>4.5199999999999996</v>
      </c>
      <c r="H384" s="7"/>
      <c r="I384" s="7"/>
      <c r="J384" s="38">
        <f t="shared" si="77"/>
        <v>4.4889438438760392</v>
      </c>
      <c r="K384" s="37">
        <f t="shared" si="78"/>
        <v>5.0572746806111954</v>
      </c>
      <c r="L384" s="37">
        <f t="shared" si="79"/>
        <v>1.2524239382929929</v>
      </c>
      <c r="M384" s="39">
        <f t="shared" si="80"/>
        <v>1.7783889178400658</v>
      </c>
      <c r="N384" s="117"/>
      <c r="O384" s="38">
        <f t="shared" si="73"/>
        <v>1.4175612138555913</v>
      </c>
      <c r="P384" s="37">
        <f t="shared" si="74"/>
        <v>1.5970341096666933</v>
      </c>
      <c r="Q384" s="37">
        <f t="shared" si="75"/>
        <v>0.39550229630305039</v>
      </c>
      <c r="R384" s="39">
        <f t="shared" si="76"/>
        <v>0.56159650037054709</v>
      </c>
    </row>
    <row r="385" spans="2:18" customFormat="1" x14ac:dyDescent="0.25">
      <c r="B385" s="19" t="s">
        <v>1082</v>
      </c>
      <c r="C385" s="3" t="s">
        <v>854</v>
      </c>
      <c r="D385" s="3">
        <v>3.1666666666666665</v>
      </c>
      <c r="E385" s="3">
        <v>14.26256643640027</v>
      </c>
      <c r="F385" s="3">
        <v>1120</v>
      </c>
      <c r="G385" s="4">
        <v>4.4400000000000004</v>
      </c>
      <c r="H385" s="7"/>
      <c r="I385" s="7"/>
      <c r="J385" s="38">
        <f t="shared" si="77"/>
        <v>4.920287695269705</v>
      </c>
      <c r="K385" s="37">
        <f t="shared" si="78"/>
        <v>6.1586367221665235</v>
      </c>
      <c r="L385" s="37">
        <f t="shared" si="79"/>
        <v>2.3625091183039406</v>
      </c>
      <c r="M385" s="39">
        <f t="shared" si="80"/>
        <v>3.9207889136777925</v>
      </c>
      <c r="N385" s="117"/>
      <c r="O385" s="38">
        <f t="shared" si="73"/>
        <v>1.5537750616641175</v>
      </c>
      <c r="P385" s="37">
        <f t="shared" si="74"/>
        <v>1.9448326491052181</v>
      </c>
      <c r="Q385" s="37">
        <f t="shared" si="75"/>
        <v>0.74605551104334966</v>
      </c>
      <c r="R385" s="39">
        <f t="shared" si="76"/>
        <v>1.2381438674771976</v>
      </c>
    </row>
    <row r="386" spans="2:18" customFormat="1" x14ac:dyDescent="0.25">
      <c r="B386" s="19" t="s">
        <v>1082</v>
      </c>
      <c r="C386" s="3" t="s">
        <v>855</v>
      </c>
      <c r="D386" s="3">
        <v>3.1666666666666665</v>
      </c>
      <c r="E386" s="3">
        <v>11.13937670580167</v>
      </c>
      <c r="F386" s="3">
        <v>860</v>
      </c>
      <c r="G386" s="4">
        <v>3.42</v>
      </c>
      <c r="H386" s="7"/>
      <c r="I386" s="7"/>
      <c r="J386" s="38">
        <f t="shared" si="77"/>
        <v>4.322137187413615</v>
      </c>
      <c r="K386" s="37">
        <f t="shared" si="78"/>
        <v>4.8100301406702037</v>
      </c>
      <c r="L386" s="37">
        <f t="shared" si="79"/>
        <v>1.2734589642599434</v>
      </c>
      <c r="M386" s="39">
        <f t="shared" si="80"/>
        <v>1.7311520815972141</v>
      </c>
      <c r="N386" s="117"/>
      <c r="O386" s="38">
        <f t="shared" si="73"/>
        <v>1.3648854276042994</v>
      </c>
      <c r="P386" s="37">
        <f t="shared" si="74"/>
        <v>1.5189568865274328</v>
      </c>
      <c r="Q386" s="37">
        <f t="shared" si="75"/>
        <v>0.4021449360820874</v>
      </c>
      <c r="R386" s="39">
        <f t="shared" si="76"/>
        <v>0.54667960471490973</v>
      </c>
    </row>
    <row r="387" spans="2:18" customFormat="1" x14ac:dyDescent="0.25">
      <c r="B387" s="19" t="s">
        <v>1082</v>
      </c>
      <c r="C387" s="3" t="s">
        <v>856</v>
      </c>
      <c r="D387" s="3">
        <v>3.1666666666666665</v>
      </c>
      <c r="E387" s="3">
        <v>14.106406949870339</v>
      </c>
      <c r="F387" s="3">
        <v>880</v>
      </c>
      <c r="G387" s="4">
        <v>5.24</v>
      </c>
      <c r="H387" s="7"/>
      <c r="I387" s="7"/>
      <c r="J387" s="38">
        <f t="shared" si="77"/>
        <v>5.0360555828919473</v>
      </c>
      <c r="K387" s="37">
        <f t="shared" si="78"/>
        <v>6.0912063930917064</v>
      </c>
      <c r="L387" s="37">
        <f t="shared" si="79"/>
        <v>1.7416550992551414</v>
      </c>
      <c r="M387" s="39">
        <f t="shared" si="80"/>
        <v>2.9042744474364972</v>
      </c>
      <c r="N387" s="117"/>
      <c r="O387" s="38">
        <f t="shared" si="73"/>
        <v>1.5903333419658783</v>
      </c>
      <c r="P387" s="37">
        <f t="shared" si="74"/>
        <v>1.9235388609763284</v>
      </c>
      <c r="Q387" s="37">
        <f t="shared" si="75"/>
        <v>0.54999634713320256</v>
      </c>
      <c r="R387" s="39">
        <f t="shared" si="76"/>
        <v>0.91713929919047288</v>
      </c>
    </row>
    <row r="388" spans="2:18" customFormat="1" x14ac:dyDescent="0.25">
      <c r="B388" s="19" t="s">
        <v>1082</v>
      </c>
      <c r="C388" s="3" t="s">
        <v>857</v>
      </c>
      <c r="D388" s="3">
        <v>3.1666666666666665</v>
      </c>
      <c r="E388" s="3">
        <v>10.306526110975375</v>
      </c>
      <c r="F388" s="3">
        <v>980</v>
      </c>
      <c r="G388" s="4">
        <v>4.9000000000000004</v>
      </c>
      <c r="H388" s="7"/>
      <c r="I388" s="7"/>
      <c r="J388" s="38">
        <f t="shared" si="77"/>
        <v>4.0730120945557822</v>
      </c>
      <c r="K388" s="37">
        <f t="shared" si="78"/>
        <v>4.4504017189378517</v>
      </c>
      <c r="L388" s="37">
        <f t="shared" si="79"/>
        <v>1.3572566218778119</v>
      </c>
      <c r="M388" s="39">
        <f t="shared" si="80"/>
        <v>1.7280684147022607</v>
      </c>
      <c r="N388" s="117"/>
      <c r="O388" s="38">
        <f t="shared" si="73"/>
        <v>1.2862143456491943</v>
      </c>
      <c r="P388" s="37">
        <f t="shared" si="74"/>
        <v>1.4053900165066902</v>
      </c>
      <c r="Q388" s="37">
        <f t="shared" si="75"/>
        <v>0.42860735427720381</v>
      </c>
      <c r="R388" s="39">
        <f t="shared" si="76"/>
        <v>0.54570581516913497</v>
      </c>
    </row>
    <row r="389" spans="2:18" customFormat="1" x14ac:dyDescent="0.25">
      <c r="B389" s="19" t="s">
        <v>1082</v>
      </c>
      <c r="C389" s="3" t="s">
        <v>858</v>
      </c>
      <c r="D389" s="3">
        <v>2.9166666666666665</v>
      </c>
      <c r="E389" s="3">
        <v>20.820809166722618</v>
      </c>
      <c r="F389" s="3">
        <v>1100</v>
      </c>
      <c r="G389" s="4">
        <v>6.79</v>
      </c>
      <c r="H389" s="7"/>
      <c r="I389" s="7"/>
      <c r="J389" s="38">
        <f t="shared" si="77"/>
        <v>6.2227077773536674</v>
      </c>
      <c r="K389" s="37">
        <f t="shared" si="78"/>
        <v>8.091639516384376</v>
      </c>
      <c r="L389" s="37">
        <f t="shared" si="79"/>
        <v>3.527075818442567</v>
      </c>
      <c r="M389" s="39">
        <f t="shared" si="80"/>
        <v>8.1881761742349539</v>
      </c>
      <c r="N389" s="117"/>
      <c r="O389" s="38">
        <f t="shared" si="73"/>
        <v>2.1334998093784003</v>
      </c>
      <c r="P389" s="37">
        <f t="shared" si="74"/>
        <v>2.7742764056175004</v>
      </c>
      <c r="Q389" s="37">
        <f t="shared" si="75"/>
        <v>1.2092831377517372</v>
      </c>
      <c r="R389" s="39">
        <f t="shared" si="76"/>
        <v>2.8073746883091273</v>
      </c>
    </row>
    <row r="390" spans="2:18" customFormat="1" x14ac:dyDescent="0.25">
      <c r="B390" s="19" t="s">
        <v>1082</v>
      </c>
      <c r="C390" s="3" t="s">
        <v>859</v>
      </c>
      <c r="D390" s="3">
        <v>2.9166666666666665</v>
      </c>
      <c r="E390" s="3">
        <v>18.738728250050357</v>
      </c>
      <c r="F390" s="3">
        <v>940</v>
      </c>
      <c r="G390" s="4">
        <v>5.71</v>
      </c>
      <c r="H390" s="7"/>
      <c r="I390" s="7"/>
      <c r="J390" s="38">
        <f t="shared" si="77"/>
        <v>5.6976256270591454</v>
      </c>
      <c r="K390" s="37">
        <f t="shared" si="78"/>
        <v>7.2824755647459378</v>
      </c>
      <c r="L390" s="37">
        <f t="shared" si="79"/>
        <v>2.3739976044976836</v>
      </c>
      <c r="M390" s="39">
        <f t="shared" si="80"/>
        <v>4.8207118708396095</v>
      </c>
      <c r="N390" s="117"/>
      <c r="O390" s="38">
        <f t="shared" ref="O390:O453" si="81">J390/D390</f>
        <v>1.9534716435631356</v>
      </c>
      <c r="P390" s="37">
        <f t="shared" ref="P390:P453" si="82">K390/D390</f>
        <v>2.4968487650557503</v>
      </c>
      <c r="Q390" s="37">
        <f t="shared" ref="Q390:Q453" si="83">L390/D390</f>
        <v>0.81394203582777724</v>
      </c>
      <c r="R390" s="39">
        <f t="shared" ref="R390:R453" si="84">M390/D390</f>
        <v>1.6528154985735806</v>
      </c>
    </row>
    <row r="391" spans="2:18" customFormat="1" x14ac:dyDescent="0.25">
      <c r="B391" s="19" t="s">
        <v>1082</v>
      </c>
      <c r="C391" s="3" t="s">
        <v>860</v>
      </c>
      <c r="D391" s="3">
        <v>2.9166666666666665</v>
      </c>
      <c r="E391" s="3">
        <v>15.49993571300462</v>
      </c>
      <c r="F391" s="3">
        <v>820</v>
      </c>
      <c r="G391" s="4">
        <v>4.38</v>
      </c>
      <c r="H391" s="7"/>
      <c r="I391" s="7"/>
      <c r="J391" s="38">
        <f t="shared" si="77"/>
        <v>4.8843398144750712</v>
      </c>
      <c r="K391" s="37">
        <f t="shared" si="78"/>
        <v>6.0237760844194801</v>
      </c>
      <c r="L391" s="37">
        <f t="shared" si="79"/>
        <v>1.4982672623224182</v>
      </c>
      <c r="M391" s="39">
        <f t="shared" si="80"/>
        <v>2.4498497911878934</v>
      </c>
      <c r="N391" s="117"/>
      <c r="O391" s="38">
        <f t="shared" si="81"/>
        <v>1.6746307935343101</v>
      </c>
      <c r="P391" s="37">
        <f t="shared" si="82"/>
        <v>2.0652946575152504</v>
      </c>
      <c r="Q391" s="37">
        <f t="shared" si="83"/>
        <v>0.51369163279625774</v>
      </c>
      <c r="R391" s="39">
        <f t="shared" si="84"/>
        <v>0.83994849983584918</v>
      </c>
    </row>
    <row r="392" spans="2:18" customFormat="1" x14ac:dyDescent="0.25">
      <c r="B392" s="19" t="s">
        <v>1082</v>
      </c>
      <c r="C392" s="3" t="s">
        <v>861</v>
      </c>
      <c r="D392" s="3">
        <v>2.8333333333333335</v>
      </c>
      <c r="E392" s="3">
        <v>16.84211006891978</v>
      </c>
      <c r="F392" s="3">
        <v>780</v>
      </c>
      <c r="G392" s="4">
        <v>5.04</v>
      </c>
      <c r="H392" s="7"/>
      <c r="I392" s="7"/>
      <c r="J392" s="38">
        <f t="shared" si="77"/>
        <v>5.0535037536930627</v>
      </c>
      <c r="K392" s="37">
        <f t="shared" si="78"/>
        <v>6.2934974095735976</v>
      </c>
      <c r="L392" s="37">
        <f t="shared" si="79"/>
        <v>1.5024308076804342</v>
      </c>
      <c r="M392" s="39">
        <f t="shared" si="80"/>
        <v>2.5848453661308355</v>
      </c>
      <c r="N392" s="117"/>
      <c r="O392" s="38">
        <f t="shared" si="81"/>
        <v>1.7835895601269631</v>
      </c>
      <c r="P392" s="37">
        <f t="shared" si="82"/>
        <v>2.2212343798495051</v>
      </c>
      <c r="Q392" s="37">
        <f t="shared" si="83"/>
        <v>0.53026969682838854</v>
      </c>
      <c r="R392" s="39">
        <f t="shared" si="84"/>
        <v>0.91229836451676538</v>
      </c>
    </row>
    <row r="393" spans="2:18" customFormat="1" x14ac:dyDescent="0.25">
      <c r="B393" s="19" t="s">
        <v>1082</v>
      </c>
      <c r="C393" s="3" t="s">
        <v>862</v>
      </c>
      <c r="D393" s="3">
        <v>2.9166666666666665</v>
      </c>
      <c r="E393" s="3">
        <v>18.333879182919642</v>
      </c>
      <c r="F393" s="3">
        <v>980</v>
      </c>
      <c r="G393" s="4">
        <v>5.65</v>
      </c>
      <c r="H393" s="7"/>
      <c r="I393" s="7"/>
      <c r="J393" s="38">
        <f t="shared" si="77"/>
        <v>5.5488605831014937</v>
      </c>
      <c r="K393" s="37">
        <f t="shared" si="78"/>
        <v>7.1251381297051308</v>
      </c>
      <c r="L393" s="37">
        <f t="shared" si="79"/>
        <v>2.3951049167549994</v>
      </c>
      <c r="M393" s="39">
        <f t="shared" si="80"/>
        <v>4.7167487886803663</v>
      </c>
      <c r="N393" s="117"/>
      <c r="O393" s="38">
        <f t="shared" si="81"/>
        <v>1.9024664856347979</v>
      </c>
      <c r="P393" s="37">
        <f t="shared" si="82"/>
        <v>2.4429045016131878</v>
      </c>
      <c r="Q393" s="37">
        <f t="shared" si="83"/>
        <v>0.82117882860171409</v>
      </c>
      <c r="R393" s="39">
        <f t="shared" si="84"/>
        <v>1.61717101326184</v>
      </c>
    </row>
    <row r="394" spans="2:18" customFormat="1" x14ac:dyDescent="0.25">
      <c r="B394" s="19" t="s">
        <v>1082</v>
      </c>
      <c r="C394" s="3" t="s">
        <v>863</v>
      </c>
      <c r="D394" s="3">
        <v>2.9166666666666665</v>
      </c>
      <c r="E394" s="3">
        <v>14.22755293059379</v>
      </c>
      <c r="F394" s="3">
        <v>800</v>
      </c>
      <c r="G394" s="4">
        <v>3.98</v>
      </c>
      <c r="H394" s="7"/>
      <c r="I394" s="7"/>
      <c r="J394" s="38">
        <f t="shared" si="77"/>
        <v>4.5812521979963376</v>
      </c>
      <c r="K394" s="37">
        <f t="shared" si="78"/>
        <v>5.529287002862656</v>
      </c>
      <c r="L394" s="37">
        <f t="shared" si="79"/>
        <v>1.2920781908561119</v>
      </c>
      <c r="M394" s="39">
        <f t="shared" si="80"/>
        <v>1.9369234451319164</v>
      </c>
      <c r="N394" s="117"/>
      <c r="O394" s="38">
        <f t="shared" si="81"/>
        <v>1.57071503931303</v>
      </c>
      <c r="P394" s="37">
        <f t="shared" si="82"/>
        <v>1.8957555438386251</v>
      </c>
      <c r="Q394" s="37">
        <f t="shared" si="83"/>
        <v>0.44299823686495265</v>
      </c>
      <c r="R394" s="39">
        <f t="shared" si="84"/>
        <v>0.66408803833094276</v>
      </c>
    </row>
    <row r="395" spans="2:18" customFormat="1" x14ac:dyDescent="0.25">
      <c r="B395" s="19" t="s">
        <v>1082</v>
      </c>
      <c r="C395" s="3" t="s">
        <v>864</v>
      </c>
      <c r="D395" s="3">
        <v>2.9166666666666665</v>
      </c>
      <c r="E395" s="3">
        <v>21.283493814872006</v>
      </c>
      <c r="F395" s="3">
        <v>780</v>
      </c>
      <c r="G395" s="4">
        <v>8.35</v>
      </c>
      <c r="H395" s="7"/>
      <c r="I395" s="7"/>
      <c r="J395" s="38">
        <f t="shared" si="77"/>
        <v>6.6483789654342935</v>
      </c>
      <c r="K395" s="37">
        <f t="shared" si="78"/>
        <v>8.2714537278595817</v>
      </c>
      <c r="L395" s="37">
        <f t="shared" si="79"/>
        <v>2.507509439836455</v>
      </c>
      <c r="M395" s="39">
        <f t="shared" si="80"/>
        <v>6.1372288419658467</v>
      </c>
      <c r="N395" s="117"/>
      <c r="O395" s="38">
        <f t="shared" si="81"/>
        <v>2.2794442167203295</v>
      </c>
      <c r="P395" s="37">
        <f t="shared" si="82"/>
        <v>2.8359269924089996</v>
      </c>
      <c r="Q395" s="37">
        <f t="shared" si="83"/>
        <v>0.85971752222964182</v>
      </c>
      <c r="R395" s="39">
        <f t="shared" si="84"/>
        <v>2.1041927458168619</v>
      </c>
    </row>
    <row r="396" spans="2:18" customFormat="1" x14ac:dyDescent="0.25">
      <c r="B396" s="19" t="s">
        <v>1082</v>
      </c>
      <c r="C396" s="3" t="s">
        <v>865</v>
      </c>
      <c r="D396" s="3">
        <v>2.8333333333333335</v>
      </c>
      <c r="E396" s="3">
        <v>21.233088765459573</v>
      </c>
      <c r="F396" s="3">
        <v>900</v>
      </c>
      <c r="G396" s="4">
        <v>5.43</v>
      </c>
      <c r="H396" s="7"/>
      <c r="I396" s="7"/>
      <c r="J396" s="38">
        <f t="shared" si="77"/>
        <v>6.2618760948340011</v>
      </c>
      <c r="K396" s="37">
        <f t="shared" si="78"/>
        <v>7.9343020913552822</v>
      </c>
      <c r="L396" s="37">
        <f t="shared" si="79"/>
        <v>2.6632888002478836</v>
      </c>
      <c r="M396" s="39">
        <f t="shared" si="80"/>
        <v>6.1632952614046861</v>
      </c>
      <c r="N396" s="117"/>
      <c r="O396" s="38">
        <f t="shared" si="81"/>
        <v>2.2100739158237648</v>
      </c>
      <c r="P396" s="37">
        <f t="shared" si="82"/>
        <v>2.8003419145959816</v>
      </c>
      <c r="Q396" s="37">
        <f t="shared" si="83"/>
        <v>0.93998428244042942</v>
      </c>
      <c r="R396" s="39">
        <f t="shared" si="84"/>
        <v>2.1752806804957716</v>
      </c>
    </row>
    <row r="397" spans="2:18" customFormat="1" x14ac:dyDescent="0.25">
      <c r="B397" s="19" t="s">
        <v>1082</v>
      </c>
      <c r="C397" s="3" t="s">
        <v>866</v>
      </c>
      <c r="D397" s="3">
        <v>2.8333333333333335</v>
      </c>
      <c r="E397" s="3">
        <v>17.323313213746061</v>
      </c>
      <c r="F397" s="3">
        <v>960</v>
      </c>
      <c r="G397" s="4">
        <v>4.8099999999999996</v>
      </c>
      <c r="H397" s="7"/>
      <c r="I397" s="7"/>
      <c r="J397" s="38">
        <f t="shared" si="77"/>
        <v>5.0617902675176705</v>
      </c>
      <c r="K397" s="37">
        <f t="shared" si="78"/>
        <v>6.4733116212757009</v>
      </c>
      <c r="L397" s="37">
        <f t="shared" si="79"/>
        <v>1.9566008533510353</v>
      </c>
      <c r="M397" s="39">
        <f t="shared" si="80"/>
        <v>3.4398729978865665</v>
      </c>
      <c r="N397" s="117"/>
      <c r="O397" s="38">
        <f t="shared" si="81"/>
        <v>1.7865142120650601</v>
      </c>
      <c r="P397" s="37">
        <f t="shared" si="82"/>
        <v>2.2846982192737766</v>
      </c>
      <c r="Q397" s="37">
        <f t="shared" si="83"/>
        <v>0.69056500706507129</v>
      </c>
      <c r="R397" s="39">
        <f t="shared" si="84"/>
        <v>1.214072822783494</v>
      </c>
    </row>
    <row r="398" spans="2:18" customFormat="1" x14ac:dyDescent="0.25">
      <c r="B398" s="19" t="s">
        <v>1082</v>
      </c>
      <c r="C398" s="3" t="s">
        <v>867</v>
      </c>
      <c r="D398" s="3">
        <v>2.8333333333333335</v>
      </c>
      <c r="E398" s="3">
        <v>20.270682475807018</v>
      </c>
      <c r="F398" s="3">
        <v>1180</v>
      </c>
      <c r="G398" s="4">
        <v>5.62</v>
      </c>
      <c r="H398" s="7"/>
      <c r="I398" s="7"/>
      <c r="J398" s="38">
        <f t="shared" si="77"/>
        <v>5.7394478335047756</v>
      </c>
      <c r="K398" s="37">
        <f t="shared" si="78"/>
        <v>7.5746736679510773</v>
      </c>
      <c r="L398" s="37">
        <f t="shared" si="79"/>
        <v>3.4000597384936815</v>
      </c>
      <c r="M398" s="39">
        <f t="shared" si="80"/>
        <v>7.2279383948052489</v>
      </c>
      <c r="N398" s="117"/>
      <c r="O398" s="38">
        <f t="shared" si="81"/>
        <v>2.0256874706487444</v>
      </c>
      <c r="P398" s="37">
        <f t="shared" si="82"/>
        <v>2.6734142357474391</v>
      </c>
      <c r="Q398" s="37">
        <f t="shared" si="83"/>
        <v>1.2000210841742405</v>
      </c>
      <c r="R398" s="39">
        <f t="shared" si="84"/>
        <v>2.5510370805194995</v>
      </c>
    </row>
    <row r="399" spans="2:18" customFormat="1" x14ac:dyDescent="0.25">
      <c r="B399" s="19" t="s">
        <v>1082</v>
      </c>
      <c r="C399" s="3" t="s">
        <v>868</v>
      </c>
      <c r="D399" s="3">
        <v>2.9166666666666665</v>
      </c>
      <c r="E399" s="3">
        <v>24.117437284787044</v>
      </c>
      <c r="F399" s="3">
        <v>1160</v>
      </c>
      <c r="G399" s="4">
        <v>7.29</v>
      </c>
      <c r="H399" s="7"/>
      <c r="I399" s="7"/>
      <c r="J399" s="38">
        <f t="shared" si="77"/>
        <v>7.338331757384057</v>
      </c>
      <c r="K399" s="37">
        <f t="shared" si="78"/>
        <v>9.3728157731452377</v>
      </c>
      <c r="L399" s="37">
        <f t="shared" si="79"/>
        <v>5.227576362319426</v>
      </c>
      <c r="M399" s="39">
        <f t="shared" si="80"/>
        <v>15.191048576693035</v>
      </c>
      <c r="N399" s="117"/>
      <c r="O399" s="38">
        <f t="shared" si="81"/>
        <v>2.5159994596745339</v>
      </c>
      <c r="P399" s="37">
        <f t="shared" si="82"/>
        <v>3.2135368365069388</v>
      </c>
      <c r="Q399" s="37">
        <f t="shared" si="83"/>
        <v>1.7923118956523747</v>
      </c>
      <c r="R399" s="39">
        <f t="shared" si="84"/>
        <v>5.2083595120090411</v>
      </c>
    </row>
    <row r="400" spans="2:18" customFormat="1" x14ac:dyDescent="0.25">
      <c r="B400" s="19" t="s">
        <v>1082</v>
      </c>
      <c r="C400" s="3" t="s">
        <v>869</v>
      </c>
      <c r="D400" s="3">
        <v>2.8333333333333335</v>
      </c>
      <c r="E400" s="3">
        <v>12.571432158586548</v>
      </c>
      <c r="F400" s="3">
        <v>780</v>
      </c>
      <c r="G400" s="4">
        <v>3.12</v>
      </c>
      <c r="H400" s="7"/>
      <c r="I400" s="7"/>
      <c r="J400" s="38">
        <f t="shared" si="77"/>
        <v>4.0400957737919869</v>
      </c>
      <c r="K400" s="37">
        <f t="shared" si="78"/>
        <v>4.697646280717434</v>
      </c>
      <c r="L400" s="37">
        <f t="shared" si="79"/>
        <v>0.99120194462337607</v>
      </c>
      <c r="M400" s="39">
        <f t="shared" si="80"/>
        <v>1.2684707102029833</v>
      </c>
      <c r="N400" s="117"/>
      <c r="O400" s="38">
        <f t="shared" si="81"/>
        <v>1.4259161554559954</v>
      </c>
      <c r="P400" s="37">
        <f t="shared" si="82"/>
        <v>1.6579928049590942</v>
      </c>
      <c r="Q400" s="37">
        <f t="shared" si="83"/>
        <v>0.34983598045530917</v>
      </c>
      <c r="R400" s="39">
        <f t="shared" si="84"/>
        <v>0.44769554477752349</v>
      </c>
    </row>
    <row r="401" spans="2:18" customFormat="1" x14ac:dyDescent="0.25">
      <c r="B401" s="19" t="s">
        <v>1082</v>
      </c>
      <c r="C401" s="3" t="s">
        <v>870</v>
      </c>
      <c r="D401" s="3">
        <v>2.9166666666666665</v>
      </c>
      <c r="E401" s="3">
        <v>15.442100131985944</v>
      </c>
      <c r="F401" s="3">
        <v>1020</v>
      </c>
      <c r="G401" s="4">
        <v>4.13</v>
      </c>
      <c r="H401" s="7"/>
      <c r="I401" s="7"/>
      <c r="J401" s="38">
        <f t="shared" si="77"/>
        <v>4.7436322590017346</v>
      </c>
      <c r="K401" s="37">
        <f t="shared" si="78"/>
        <v>6.0012993079850778</v>
      </c>
      <c r="L401" s="37">
        <f t="shared" si="79"/>
        <v>1.8966262970036285</v>
      </c>
      <c r="M401" s="39">
        <f t="shared" si="80"/>
        <v>3.0489170041946871</v>
      </c>
      <c r="N401" s="117"/>
      <c r="O401" s="38">
        <f t="shared" si="81"/>
        <v>1.626388203086309</v>
      </c>
      <c r="P401" s="37">
        <f t="shared" si="82"/>
        <v>2.0575883341663124</v>
      </c>
      <c r="Q401" s="37">
        <f t="shared" si="83"/>
        <v>0.65027187325838698</v>
      </c>
      <c r="R401" s="39">
        <f t="shared" si="84"/>
        <v>1.0453429728667498</v>
      </c>
    </row>
    <row r="402" spans="2:18" customFormat="1" x14ac:dyDescent="0.25">
      <c r="B402" s="19" t="s">
        <v>1082</v>
      </c>
      <c r="C402" s="3" t="s">
        <v>871</v>
      </c>
      <c r="D402" s="3">
        <v>2.9166666666666665</v>
      </c>
      <c r="E402" s="3">
        <v>16.309633847266046</v>
      </c>
      <c r="F402" s="3">
        <v>1060</v>
      </c>
      <c r="G402" s="4">
        <v>4.24</v>
      </c>
      <c r="H402" s="7"/>
      <c r="I402" s="7"/>
      <c r="J402" s="38">
        <f t="shared" si="77"/>
        <v>4.9383337712462501</v>
      </c>
      <c r="K402" s="37">
        <f t="shared" si="78"/>
        <v>6.3384509545010923</v>
      </c>
      <c r="L402" s="37">
        <f t="shared" si="79"/>
        <v>2.165921234113505</v>
      </c>
      <c r="M402" s="39">
        <f t="shared" si="80"/>
        <v>3.6879488517584558</v>
      </c>
      <c r="N402" s="117"/>
      <c r="O402" s="38">
        <f t="shared" si="81"/>
        <v>1.6931430072844287</v>
      </c>
      <c r="P402" s="37">
        <f t="shared" si="82"/>
        <v>2.1731831844003748</v>
      </c>
      <c r="Q402" s="37">
        <f t="shared" si="83"/>
        <v>0.74260156598177318</v>
      </c>
      <c r="R402" s="39">
        <f t="shared" si="84"/>
        <v>1.264439606317185</v>
      </c>
    </row>
    <row r="403" spans="2:18" customFormat="1" x14ac:dyDescent="0.25">
      <c r="B403" s="19" t="s">
        <v>1082</v>
      </c>
      <c r="C403" s="3" t="s">
        <v>872</v>
      </c>
      <c r="D403" s="3">
        <v>3</v>
      </c>
      <c r="E403" s="3">
        <v>28.6458496744144</v>
      </c>
      <c r="F403" s="3">
        <v>940</v>
      </c>
      <c r="G403" s="4">
        <v>9.33</v>
      </c>
      <c r="H403" s="7"/>
      <c r="I403" s="7"/>
      <c r="J403" s="38">
        <f t="shared" si="77"/>
        <v>9.9589971345059727</v>
      </c>
      <c r="K403" s="37">
        <f t="shared" si="78"/>
        <v>11.55306307351405</v>
      </c>
      <c r="L403" s="37">
        <f t="shared" si="79"/>
        <v>6.7171478215696343</v>
      </c>
      <c r="M403" s="39">
        <f t="shared" si="80"/>
        <v>28.269094491288882</v>
      </c>
      <c r="N403" s="117"/>
      <c r="O403" s="38">
        <f t="shared" si="81"/>
        <v>3.3196657115019907</v>
      </c>
      <c r="P403" s="37">
        <f t="shared" si="82"/>
        <v>3.8510210245046834</v>
      </c>
      <c r="Q403" s="37">
        <f t="shared" si="83"/>
        <v>2.2390492738565446</v>
      </c>
      <c r="R403" s="39">
        <f t="shared" si="84"/>
        <v>9.4230314970962947</v>
      </c>
    </row>
    <row r="404" spans="2:18" customFormat="1" x14ac:dyDescent="0.25">
      <c r="B404" s="19" t="s">
        <v>1082</v>
      </c>
      <c r="C404" s="3" t="s">
        <v>873</v>
      </c>
      <c r="D404" s="3">
        <v>3</v>
      </c>
      <c r="E404" s="3">
        <v>27.531225173464424</v>
      </c>
      <c r="F404" s="3">
        <v>1100</v>
      </c>
      <c r="G404" s="4">
        <v>7.62</v>
      </c>
      <c r="H404" s="7"/>
      <c r="I404" s="7"/>
      <c r="J404" s="38">
        <f t="shared" si="77"/>
        <v>9.1990687030254339</v>
      </c>
      <c r="K404" s="37">
        <f t="shared" si="78"/>
        <v>11.103527545361752</v>
      </c>
      <c r="L404" s="37">
        <f t="shared" si="79"/>
        <v>7.309905549674367</v>
      </c>
      <c r="M404" s="39">
        <f t="shared" si="80"/>
        <v>28.182439469988214</v>
      </c>
      <c r="N404" s="117"/>
      <c r="O404" s="38">
        <f t="shared" si="81"/>
        <v>3.0663562343418111</v>
      </c>
      <c r="P404" s="37">
        <f t="shared" si="82"/>
        <v>3.7011758484539174</v>
      </c>
      <c r="Q404" s="37">
        <f t="shared" si="83"/>
        <v>2.436635183224789</v>
      </c>
      <c r="R404" s="39">
        <f t="shared" si="84"/>
        <v>9.3941464899960714</v>
      </c>
    </row>
    <row r="405" spans="2:18" customFormat="1" x14ac:dyDescent="0.25">
      <c r="B405" s="19" t="s">
        <v>1082</v>
      </c>
      <c r="C405" s="3" t="s">
        <v>874</v>
      </c>
      <c r="D405" s="3">
        <v>3</v>
      </c>
      <c r="E405" s="3">
        <v>18.781422841007114</v>
      </c>
      <c r="F405" s="3">
        <v>960</v>
      </c>
      <c r="G405" s="4">
        <v>4.74</v>
      </c>
      <c r="H405" s="7"/>
      <c r="I405" s="7"/>
      <c r="J405" s="38">
        <f t="shared" si="77"/>
        <v>5.9232859863262837</v>
      </c>
      <c r="K405" s="37">
        <f t="shared" si="78"/>
        <v>7.5746736493662183</v>
      </c>
      <c r="L405" s="37">
        <f t="shared" si="79"/>
        <v>2.6329558273321898</v>
      </c>
      <c r="M405" s="39">
        <f t="shared" si="80"/>
        <v>5.5865784638290208</v>
      </c>
      <c r="N405" s="117"/>
      <c r="O405" s="38">
        <f t="shared" si="81"/>
        <v>1.9744286621087612</v>
      </c>
      <c r="P405" s="37">
        <f t="shared" si="82"/>
        <v>2.5248912164554063</v>
      </c>
      <c r="Q405" s="37">
        <f t="shared" si="83"/>
        <v>0.8776519424440633</v>
      </c>
      <c r="R405" s="39">
        <f t="shared" si="84"/>
        <v>1.8621928212763403</v>
      </c>
    </row>
    <row r="406" spans="2:18" customFormat="1" x14ac:dyDescent="0.25">
      <c r="B406" s="19" t="s">
        <v>1082</v>
      </c>
      <c r="C406" s="3" t="s">
        <v>875</v>
      </c>
      <c r="D406" s="3">
        <v>3</v>
      </c>
      <c r="E406" s="3">
        <v>16.552173839107159</v>
      </c>
      <c r="F406" s="3">
        <v>1040</v>
      </c>
      <c r="G406" s="4">
        <v>5.22</v>
      </c>
      <c r="H406" s="7"/>
      <c r="I406" s="7"/>
      <c r="J406" s="38">
        <f t="shared" si="77"/>
        <v>5.2152295655283876</v>
      </c>
      <c r="K406" s="37">
        <f t="shared" si="78"/>
        <v>6.6756025930616216</v>
      </c>
      <c r="L406" s="37">
        <f t="shared" si="79"/>
        <v>2.3339463411623611</v>
      </c>
      <c r="M406" s="39">
        <f t="shared" si="80"/>
        <v>4.2213157879063408</v>
      </c>
      <c r="N406" s="117"/>
      <c r="O406" s="38">
        <f t="shared" si="81"/>
        <v>1.7384098551761291</v>
      </c>
      <c r="P406" s="37">
        <f t="shared" si="82"/>
        <v>2.2252008643538739</v>
      </c>
      <c r="Q406" s="37">
        <f t="shared" si="83"/>
        <v>0.77798211372078707</v>
      </c>
      <c r="R406" s="39">
        <f t="shared" si="84"/>
        <v>1.407105262635447</v>
      </c>
    </row>
    <row r="407" spans="2:18" customFormat="1" x14ac:dyDescent="0.25">
      <c r="B407" s="19" t="s">
        <v>1082</v>
      </c>
      <c r="C407" s="3" t="s">
        <v>876</v>
      </c>
      <c r="D407" s="3">
        <v>3</v>
      </c>
      <c r="E407" s="3">
        <v>23.072727169664525</v>
      </c>
      <c r="F407" s="3">
        <v>1120</v>
      </c>
      <c r="G407" s="4">
        <v>7.8</v>
      </c>
      <c r="H407" s="7"/>
      <c r="I407" s="7"/>
      <c r="J407" s="38">
        <f t="shared" ref="J407:J470" si="85">EXP(2.293225 -4.118555/D407+ 0.052407*E407-0.000131*F407)</f>
        <v>7.2632380813372972</v>
      </c>
      <c r="K407" s="37">
        <f t="shared" ref="K407:K470" si="86">EXP(LN(E407) -3.891677 * (1/D407- 0.1))</f>
        <v>9.3053854327525638</v>
      </c>
      <c r="L407" s="37">
        <f t="shared" ref="L407:L470" si="87">EXP(0.613447 -7.899548/D407+ 0.09739*E407+ 0.001207*F407)</f>
        <v>4.8508659353665209</v>
      </c>
      <c r="M407" s="39">
        <f t="shared" ref="M407:M470" si="88">EXP(1.605596 -12.336335/D407+ 0.166684*E407+ 0.001142*F407)</f>
        <v>13.713473118509194</v>
      </c>
      <c r="N407" s="117"/>
      <c r="O407" s="38">
        <f t="shared" si="81"/>
        <v>2.4210793604457659</v>
      </c>
      <c r="P407" s="37">
        <f t="shared" si="82"/>
        <v>3.1017951442508545</v>
      </c>
      <c r="Q407" s="37">
        <f t="shared" si="83"/>
        <v>1.6169553117888402</v>
      </c>
      <c r="R407" s="39">
        <f t="shared" si="84"/>
        <v>4.571157706169731</v>
      </c>
    </row>
    <row r="408" spans="2:18" customFormat="1" x14ac:dyDescent="0.25">
      <c r="B408" s="19" t="s">
        <v>1082</v>
      </c>
      <c r="C408" s="3" t="s">
        <v>877</v>
      </c>
      <c r="D408" s="3">
        <v>3</v>
      </c>
      <c r="E408" s="3">
        <v>27.141106598131945</v>
      </c>
      <c r="F408" s="3">
        <v>1080</v>
      </c>
      <c r="G408" s="4">
        <v>6.28</v>
      </c>
      <c r="H408" s="7"/>
      <c r="I408" s="7"/>
      <c r="J408" s="38">
        <f t="shared" si="85"/>
        <v>9.0365485760900395</v>
      </c>
      <c r="K408" s="37">
        <f t="shared" si="86"/>
        <v>10.946190110508452</v>
      </c>
      <c r="L408" s="37">
        <f t="shared" si="87"/>
        <v>6.8695369686128034</v>
      </c>
      <c r="M408" s="39">
        <f t="shared" si="88"/>
        <v>25.811820490109117</v>
      </c>
      <c r="N408" s="117"/>
      <c r="O408" s="38">
        <f t="shared" si="81"/>
        <v>3.0121828586966797</v>
      </c>
      <c r="P408" s="37">
        <f t="shared" si="82"/>
        <v>3.6487300368361506</v>
      </c>
      <c r="Q408" s="37">
        <f t="shared" si="83"/>
        <v>2.2898456562042679</v>
      </c>
      <c r="R408" s="39">
        <f t="shared" si="84"/>
        <v>8.603940163369705</v>
      </c>
    </row>
    <row r="409" spans="2:18" customFormat="1" x14ac:dyDescent="0.25">
      <c r="B409" s="19" t="s">
        <v>1082</v>
      </c>
      <c r="C409" s="3" t="s">
        <v>878</v>
      </c>
      <c r="D409" s="3">
        <v>4.583333333333333</v>
      </c>
      <c r="E409" s="3">
        <v>12.745595655610712</v>
      </c>
      <c r="F409" s="3">
        <v>960</v>
      </c>
      <c r="G409" s="4">
        <v>6.17</v>
      </c>
      <c r="H409" s="7"/>
      <c r="I409" s="7"/>
      <c r="J409" s="38">
        <f t="shared" si="85"/>
        <v>6.9367239748988272</v>
      </c>
      <c r="K409" s="37">
        <f t="shared" si="86"/>
        <v>8.0466858379810482</v>
      </c>
      <c r="L409" s="37">
        <f t="shared" si="87"/>
        <v>3.6325061715612836</v>
      </c>
      <c r="M409" s="39">
        <f t="shared" si="88"/>
        <v>8.4556839011108238</v>
      </c>
      <c r="N409" s="117"/>
      <c r="O409" s="38">
        <f t="shared" si="81"/>
        <v>1.5134670490688351</v>
      </c>
      <c r="P409" s="37">
        <f t="shared" si="82"/>
        <v>1.7556405464685925</v>
      </c>
      <c r="Q409" s="37">
        <f t="shared" si="83"/>
        <v>0.79254680106791653</v>
      </c>
      <c r="R409" s="39">
        <f t="shared" si="84"/>
        <v>1.8448764875150889</v>
      </c>
    </row>
    <row r="410" spans="2:18" customFormat="1" x14ac:dyDescent="0.25">
      <c r="B410" s="19" t="s">
        <v>1082</v>
      </c>
      <c r="C410" s="3" t="s">
        <v>879</v>
      </c>
      <c r="D410" s="3">
        <v>4.583333333333333</v>
      </c>
      <c r="E410" s="3">
        <v>9.8618156329725348</v>
      </c>
      <c r="F410" s="3">
        <v>620</v>
      </c>
      <c r="G410" s="4">
        <v>4.6399999999999997</v>
      </c>
      <c r="H410" s="7"/>
      <c r="I410" s="7"/>
      <c r="J410" s="38">
        <f t="shared" si="85"/>
        <v>6.235378940917502</v>
      </c>
      <c r="K410" s="37">
        <f t="shared" si="86"/>
        <v>6.2260669751976261</v>
      </c>
      <c r="L410" s="37">
        <f t="shared" si="87"/>
        <v>1.8197360790101846</v>
      </c>
      <c r="M410" s="39">
        <f t="shared" si="88"/>
        <v>3.5462080474917261</v>
      </c>
      <c r="N410" s="117"/>
      <c r="O410" s="38">
        <f t="shared" si="81"/>
        <v>1.3604463143820005</v>
      </c>
      <c r="P410" s="37">
        <f t="shared" si="82"/>
        <v>1.3584146127703913</v>
      </c>
      <c r="Q410" s="37">
        <f t="shared" si="83"/>
        <v>0.39703332632949484</v>
      </c>
      <c r="R410" s="39">
        <f t="shared" si="84"/>
        <v>0.77371811945274027</v>
      </c>
    </row>
    <row r="411" spans="2:18" customFormat="1" x14ac:dyDescent="0.25">
      <c r="B411" s="19" t="s">
        <v>1082</v>
      </c>
      <c r="C411" s="3" t="s">
        <v>880</v>
      </c>
      <c r="D411" s="3">
        <v>4.583333333333333</v>
      </c>
      <c r="E411" s="3">
        <v>13.244026770634601</v>
      </c>
      <c r="F411" s="3">
        <v>900</v>
      </c>
      <c r="G411" s="4">
        <v>6.74</v>
      </c>
      <c r="H411" s="7"/>
      <c r="I411" s="7"/>
      <c r="J411" s="38">
        <f t="shared" si="85"/>
        <v>7.1764934963538689</v>
      </c>
      <c r="K411" s="37">
        <f t="shared" si="86"/>
        <v>8.3613607031534958</v>
      </c>
      <c r="L411" s="37">
        <f t="shared" si="87"/>
        <v>3.5467972803639025</v>
      </c>
      <c r="M411" s="39">
        <f t="shared" si="88"/>
        <v>8.5797035209624042</v>
      </c>
      <c r="N411" s="117"/>
      <c r="O411" s="38">
        <f t="shared" si="81"/>
        <v>1.5657803992044805</v>
      </c>
      <c r="P411" s="37">
        <f t="shared" si="82"/>
        <v>1.8242968806880355</v>
      </c>
      <c r="Q411" s="37">
        <f t="shared" si="83"/>
        <v>0.77384667935212426</v>
      </c>
      <c r="R411" s="39">
        <f t="shared" si="84"/>
        <v>1.8719353136645247</v>
      </c>
    </row>
    <row r="412" spans="2:18" customFormat="1" x14ac:dyDescent="0.25">
      <c r="B412" s="19" t="s">
        <v>1082</v>
      </c>
      <c r="C412" s="3" t="s">
        <v>881</v>
      </c>
      <c r="D412" s="3">
        <v>4.583333333333333</v>
      </c>
      <c r="E412" s="3">
        <v>7.9748978403821225</v>
      </c>
      <c r="F412" s="3">
        <v>620</v>
      </c>
      <c r="G412" s="4">
        <v>4.53</v>
      </c>
      <c r="H412" s="7"/>
      <c r="I412" s="7"/>
      <c r="J412" s="38">
        <f t="shared" si="85"/>
        <v>5.6482832698248542</v>
      </c>
      <c r="K412" s="37">
        <f t="shared" si="86"/>
        <v>5.034797842759092</v>
      </c>
      <c r="L412" s="37">
        <f t="shared" si="87"/>
        <v>1.5142564936348124</v>
      </c>
      <c r="M412" s="39">
        <f t="shared" si="88"/>
        <v>2.5892282844122607</v>
      </c>
      <c r="N412" s="117"/>
      <c r="O412" s="38">
        <f t="shared" si="81"/>
        <v>1.2323527134163319</v>
      </c>
      <c r="P412" s="37">
        <f t="shared" si="82"/>
        <v>1.0985013475110748</v>
      </c>
      <c r="Q412" s="37">
        <f t="shared" si="83"/>
        <v>0.33038323497486816</v>
      </c>
      <c r="R412" s="39">
        <f t="shared" si="84"/>
        <v>0.56492253478085697</v>
      </c>
    </row>
    <row r="413" spans="2:18" customFormat="1" x14ac:dyDescent="0.25">
      <c r="B413" s="19" t="s">
        <v>1082</v>
      </c>
      <c r="C413" s="3" t="s">
        <v>882</v>
      </c>
      <c r="D413" s="3">
        <v>4.583333333333333</v>
      </c>
      <c r="E413" s="3">
        <v>16.982260133313719</v>
      </c>
      <c r="F413" s="3">
        <v>1000</v>
      </c>
      <c r="G413" s="4">
        <v>8.69</v>
      </c>
      <c r="H413" s="7"/>
      <c r="I413" s="7"/>
      <c r="J413" s="38">
        <f t="shared" si="85"/>
        <v>8.6159961122089417</v>
      </c>
      <c r="K413" s="37">
        <f t="shared" si="86"/>
        <v>10.721422191946818</v>
      </c>
      <c r="L413" s="37">
        <f t="shared" si="87"/>
        <v>5.7592748283660145</v>
      </c>
      <c r="M413" s="39">
        <f t="shared" si="88"/>
        <v>17.934084209857982</v>
      </c>
      <c r="N413" s="117"/>
      <c r="O413" s="38">
        <f t="shared" si="81"/>
        <v>1.8798536972092237</v>
      </c>
      <c r="P413" s="37">
        <f t="shared" si="82"/>
        <v>2.3392193873338512</v>
      </c>
      <c r="Q413" s="37">
        <f t="shared" si="83"/>
        <v>1.256569053461676</v>
      </c>
      <c r="R413" s="39">
        <f t="shared" si="84"/>
        <v>3.9128911003326508</v>
      </c>
    </row>
    <row r="414" spans="2:18" customFormat="1" x14ac:dyDescent="0.25">
      <c r="B414" s="19" t="s">
        <v>1082</v>
      </c>
      <c r="C414" s="3" t="s">
        <v>883</v>
      </c>
      <c r="D414" s="3">
        <v>4.583333333333333</v>
      </c>
      <c r="E414" s="3">
        <v>13.172822325631191</v>
      </c>
      <c r="F414" s="3">
        <v>1200</v>
      </c>
      <c r="G414" s="4">
        <v>6.11</v>
      </c>
      <c r="H414" s="7"/>
      <c r="I414" s="7"/>
      <c r="J414" s="38">
        <f t="shared" si="85"/>
        <v>6.874227553856346</v>
      </c>
      <c r="K414" s="37">
        <f t="shared" si="86"/>
        <v>8.316407150986004</v>
      </c>
      <c r="L414" s="37">
        <f t="shared" si="87"/>
        <v>5.0592103855650556</v>
      </c>
      <c r="M414" s="39">
        <f t="shared" si="88"/>
        <v>11.942825440467495</v>
      </c>
      <c r="N414" s="117"/>
      <c r="O414" s="38">
        <f t="shared" si="81"/>
        <v>1.4998314662959302</v>
      </c>
      <c r="P414" s="37">
        <f t="shared" si="82"/>
        <v>1.8144888329424009</v>
      </c>
      <c r="Q414" s="37">
        <f t="shared" si="83"/>
        <v>1.1038277204869213</v>
      </c>
      <c r="R414" s="39">
        <f t="shared" si="84"/>
        <v>2.6057073688292718</v>
      </c>
    </row>
    <row r="415" spans="2:18" customFormat="1" x14ac:dyDescent="0.25">
      <c r="B415" s="19" t="s">
        <v>1082</v>
      </c>
      <c r="C415" s="3" t="s">
        <v>884</v>
      </c>
      <c r="D415" s="3">
        <v>13.5</v>
      </c>
      <c r="E415" s="3">
        <v>24.891542781069855</v>
      </c>
      <c r="F415" s="3">
        <v>560</v>
      </c>
      <c r="G415" s="4">
        <v>23.79</v>
      </c>
      <c r="H415" s="7"/>
      <c r="I415" s="7"/>
      <c r="J415" s="38">
        <f t="shared" si="85"/>
        <v>25.010054759201154</v>
      </c>
      <c r="K415" s="37">
        <f t="shared" si="86"/>
        <v>27.534050206084455</v>
      </c>
      <c r="L415" s="37">
        <f t="shared" si="87"/>
        <v>22.83747090596993</v>
      </c>
      <c r="M415" s="39">
        <f t="shared" si="88"/>
        <v>239.92714729602767</v>
      </c>
      <c r="N415" s="117"/>
      <c r="O415" s="38">
        <f t="shared" si="81"/>
        <v>1.8525966488297152</v>
      </c>
      <c r="P415" s="37">
        <f t="shared" si="82"/>
        <v>2.0395592745247746</v>
      </c>
      <c r="Q415" s="37">
        <f t="shared" si="83"/>
        <v>1.6916645115533282</v>
      </c>
      <c r="R415" s="39">
        <f t="shared" si="84"/>
        <v>17.772381281187236</v>
      </c>
    </row>
    <row r="416" spans="2:18" customFormat="1" x14ac:dyDescent="0.25">
      <c r="B416" s="19" t="s">
        <v>1082</v>
      </c>
      <c r="C416" s="3" t="s">
        <v>885</v>
      </c>
      <c r="D416" s="3">
        <v>8.3333333333333339</v>
      </c>
      <c r="E416" s="3">
        <v>21.696423508901976</v>
      </c>
      <c r="F416" s="3">
        <v>560</v>
      </c>
      <c r="G416" s="4">
        <v>17.5</v>
      </c>
      <c r="H416" s="7"/>
      <c r="I416" s="7"/>
      <c r="J416" s="38">
        <f t="shared" si="85"/>
        <v>17.508436786319958</v>
      </c>
      <c r="K416" s="37">
        <f t="shared" si="86"/>
        <v>20.071760796191324</v>
      </c>
      <c r="L416" s="37">
        <f t="shared" si="87"/>
        <v>11.639865945553675</v>
      </c>
      <c r="M416" s="39">
        <f t="shared" si="88"/>
        <v>79.934092882060924</v>
      </c>
      <c r="N416" s="117"/>
      <c r="O416" s="38">
        <f t="shared" si="81"/>
        <v>2.101012414358395</v>
      </c>
      <c r="P416" s="37">
        <f t="shared" si="82"/>
        <v>2.4086112955429586</v>
      </c>
      <c r="Q416" s="37">
        <f t="shared" si="83"/>
        <v>1.3967839134664408</v>
      </c>
      <c r="R416" s="39">
        <f t="shared" si="84"/>
        <v>9.5920911458473093</v>
      </c>
    </row>
    <row r="417" spans="2:18" customFormat="1" x14ac:dyDescent="0.25">
      <c r="B417" s="19" t="s">
        <v>1082</v>
      </c>
      <c r="C417" s="3" t="s">
        <v>886</v>
      </c>
      <c r="D417" s="3">
        <v>7.916666666666667</v>
      </c>
      <c r="E417" s="3">
        <v>15.43842207701193</v>
      </c>
      <c r="F417" s="3">
        <v>820</v>
      </c>
      <c r="G417" s="4">
        <v>16.64</v>
      </c>
      <c r="H417" s="7"/>
      <c r="I417" s="7"/>
      <c r="J417" s="38">
        <f t="shared" si="85"/>
        <v>11.877523819105795</v>
      </c>
      <c r="K417" s="37">
        <f t="shared" si="86"/>
        <v>13.935601011728478</v>
      </c>
      <c r="L417" s="37">
        <f t="shared" si="87"/>
        <v>8.2391508297997085</v>
      </c>
      <c r="M417" s="39">
        <f t="shared" si="88"/>
        <v>35.06137337108887</v>
      </c>
      <c r="N417" s="117"/>
      <c r="O417" s="38">
        <f t="shared" si="81"/>
        <v>1.5003187982028372</v>
      </c>
      <c r="P417" s="37">
        <f t="shared" si="82"/>
        <v>1.7602864435867551</v>
      </c>
      <c r="Q417" s="37">
        <f t="shared" si="83"/>
        <v>1.0407348416589106</v>
      </c>
      <c r="R417" s="39">
        <f t="shared" si="84"/>
        <v>4.428805057400699</v>
      </c>
    </row>
    <row r="418" spans="2:18" customFormat="1" x14ac:dyDescent="0.25">
      <c r="B418" s="19" t="s">
        <v>1082</v>
      </c>
      <c r="C418" s="3" t="s">
        <v>887</v>
      </c>
      <c r="D418" s="3">
        <v>8</v>
      </c>
      <c r="E418" s="3">
        <v>16.226642207226085</v>
      </c>
      <c r="F418" s="3">
        <v>940</v>
      </c>
      <c r="G418" s="4">
        <v>15.97</v>
      </c>
      <c r="H418" s="7"/>
      <c r="I418" s="7"/>
      <c r="J418" s="38">
        <f t="shared" si="85"/>
        <v>12.251584347947793</v>
      </c>
      <c r="K418" s="37">
        <f t="shared" si="86"/>
        <v>14.722288163192401</v>
      </c>
      <c r="L418" s="37">
        <f t="shared" si="87"/>
        <v>10.39054423674515</v>
      </c>
      <c r="M418" s="39">
        <f t="shared" si="88"/>
        <v>46.607233512210534</v>
      </c>
      <c r="N418" s="117"/>
      <c r="O418" s="38">
        <f t="shared" si="81"/>
        <v>1.5314480434934741</v>
      </c>
      <c r="P418" s="37">
        <f t="shared" si="82"/>
        <v>1.8402860203990501</v>
      </c>
      <c r="Q418" s="37">
        <f t="shared" si="83"/>
        <v>1.2988180295931437</v>
      </c>
      <c r="R418" s="39">
        <f t="shared" si="84"/>
        <v>5.8259041890263168</v>
      </c>
    </row>
    <row r="419" spans="2:18" customFormat="1" x14ac:dyDescent="0.25">
      <c r="B419" s="19" t="s">
        <v>1082</v>
      </c>
      <c r="C419" s="3" t="s">
        <v>888</v>
      </c>
      <c r="D419" s="3">
        <v>6</v>
      </c>
      <c r="E419" s="3">
        <v>7.2108225688601157</v>
      </c>
      <c r="F419" s="3">
        <v>950</v>
      </c>
      <c r="G419" s="4">
        <v>4.2</v>
      </c>
      <c r="H419" s="7"/>
      <c r="I419" s="7"/>
      <c r="J419" s="38">
        <f t="shared" si="85"/>
        <v>6.4253219921348883</v>
      </c>
      <c r="K419" s="37">
        <f t="shared" si="86"/>
        <v>5.5630020448671607</v>
      </c>
      <c r="L419" s="37">
        <f t="shared" si="87"/>
        <v>3.1448546618868205</v>
      </c>
      <c r="M419" s="39">
        <f t="shared" si="88"/>
        <v>6.2737164590382886</v>
      </c>
      <c r="N419" s="117"/>
      <c r="O419" s="38">
        <f t="shared" si="81"/>
        <v>1.0708869986891481</v>
      </c>
      <c r="P419" s="37">
        <f t="shared" si="82"/>
        <v>0.92716700747786007</v>
      </c>
      <c r="Q419" s="37">
        <f t="shared" si="83"/>
        <v>0.52414244364780338</v>
      </c>
      <c r="R419" s="39">
        <f t="shared" si="84"/>
        <v>1.0456194098397147</v>
      </c>
    </row>
    <row r="420" spans="2:18" customFormat="1" x14ac:dyDescent="0.25">
      <c r="B420" s="19" t="s">
        <v>1082</v>
      </c>
      <c r="C420" s="3" t="s">
        <v>889</v>
      </c>
      <c r="D420" s="3">
        <v>5.916666666666667</v>
      </c>
      <c r="E420" s="3">
        <v>7.76213127603849</v>
      </c>
      <c r="F420" s="3">
        <v>800</v>
      </c>
      <c r="G420" s="4">
        <v>5.03</v>
      </c>
      <c r="H420" s="7"/>
      <c r="I420" s="7"/>
      <c r="J420" s="38">
        <f t="shared" si="85"/>
        <v>6.6800215324662329</v>
      </c>
      <c r="K420" s="37">
        <f t="shared" si="86"/>
        <v>5.933868849601291</v>
      </c>
      <c r="L420" s="37">
        <f t="shared" si="87"/>
        <v>2.7179178524230103</v>
      </c>
      <c r="M420" s="39">
        <f t="shared" si="88"/>
        <v>5.6294104643981813</v>
      </c>
      <c r="N420" s="117"/>
      <c r="O420" s="38">
        <f t="shared" si="81"/>
        <v>1.1290177237971097</v>
      </c>
      <c r="P420" s="37">
        <f t="shared" si="82"/>
        <v>1.0029074112002181</v>
      </c>
      <c r="Q420" s="37">
        <f t="shared" si="83"/>
        <v>0.45936639759262143</v>
      </c>
      <c r="R420" s="39">
        <f t="shared" si="84"/>
        <v>0.95144965595462216</v>
      </c>
    </row>
    <row r="421" spans="2:18" customFormat="1" x14ac:dyDescent="0.25">
      <c r="B421" s="19" t="s">
        <v>1082</v>
      </c>
      <c r="C421" s="3" t="s">
        <v>890</v>
      </c>
      <c r="D421" s="3">
        <v>5.916666666666667</v>
      </c>
      <c r="E421" s="3">
        <v>8.232563474586275</v>
      </c>
      <c r="F421" s="3">
        <v>860</v>
      </c>
      <c r="G421" s="4">
        <v>4.49</v>
      </c>
      <c r="H421" s="7"/>
      <c r="I421" s="7"/>
      <c r="J421" s="38">
        <f t="shared" si="85"/>
        <v>6.7931527150584028</v>
      </c>
      <c r="K421" s="37">
        <f t="shared" si="86"/>
        <v>6.2934972647286402</v>
      </c>
      <c r="L421" s="37">
        <f t="shared" si="87"/>
        <v>3.059041047105179</v>
      </c>
      <c r="M421" s="39">
        <f t="shared" si="88"/>
        <v>6.5204164330637511</v>
      </c>
      <c r="N421" s="117"/>
      <c r="O421" s="38">
        <f t="shared" si="81"/>
        <v>1.1481384870521243</v>
      </c>
      <c r="P421" s="37">
        <f t="shared" si="82"/>
        <v>1.0636896785456855</v>
      </c>
      <c r="Q421" s="37">
        <f t="shared" si="83"/>
        <v>0.51702102204594569</v>
      </c>
      <c r="R421" s="39">
        <f t="shared" si="84"/>
        <v>1.1020422140389439</v>
      </c>
    </row>
    <row r="422" spans="2:18" customFormat="1" x14ac:dyDescent="0.25">
      <c r="B422" s="19" t="s">
        <v>1082</v>
      </c>
      <c r="C422" s="3" t="s">
        <v>891</v>
      </c>
      <c r="D422" s="3">
        <v>5.916666666666667</v>
      </c>
      <c r="E422" s="3">
        <v>10.143694281186665</v>
      </c>
      <c r="F422" s="3">
        <v>880</v>
      </c>
      <c r="G422" s="4">
        <v>5.0599999999999996</v>
      </c>
      <c r="H422" s="7"/>
      <c r="I422" s="7"/>
      <c r="J422" s="38">
        <f t="shared" si="85"/>
        <v>7.4891236152781309</v>
      </c>
      <c r="K422" s="37">
        <f t="shared" si="86"/>
        <v>7.7544877011835061</v>
      </c>
      <c r="L422" s="37">
        <f t="shared" si="87"/>
        <v>3.7748721433091603</v>
      </c>
      <c r="M422" s="39">
        <f t="shared" si="88"/>
        <v>9.1736309850438325</v>
      </c>
      <c r="N422" s="117"/>
      <c r="O422" s="38">
        <f t="shared" si="81"/>
        <v>1.2657673715963038</v>
      </c>
      <c r="P422" s="37">
        <f t="shared" si="82"/>
        <v>1.3106176396366489</v>
      </c>
      <c r="Q422" s="37">
        <f t="shared" si="83"/>
        <v>0.63800655943253415</v>
      </c>
      <c r="R422" s="39">
        <f t="shared" si="84"/>
        <v>1.5504728425426195</v>
      </c>
    </row>
    <row r="423" spans="2:18" customFormat="1" x14ac:dyDescent="0.25">
      <c r="B423" s="19" t="s">
        <v>1082</v>
      </c>
      <c r="C423" s="3" t="s">
        <v>892</v>
      </c>
      <c r="D423" s="3">
        <v>5.916666666666667</v>
      </c>
      <c r="E423" s="3">
        <v>8.232563474586275</v>
      </c>
      <c r="F423" s="3">
        <v>790</v>
      </c>
      <c r="G423" s="4">
        <v>4.04</v>
      </c>
      <c r="H423" s="7"/>
      <c r="I423" s="7"/>
      <c r="J423" s="38">
        <f t="shared" si="85"/>
        <v>6.8557324148581742</v>
      </c>
      <c r="K423" s="37">
        <f t="shared" si="86"/>
        <v>6.2934972647286402</v>
      </c>
      <c r="L423" s="37">
        <f t="shared" si="87"/>
        <v>2.8112001267846307</v>
      </c>
      <c r="M423" s="39">
        <f t="shared" si="88"/>
        <v>6.0194641516234677</v>
      </c>
      <c r="N423" s="117"/>
      <c r="O423" s="38">
        <f t="shared" si="81"/>
        <v>1.1587153377225083</v>
      </c>
      <c r="P423" s="37">
        <f t="shared" si="82"/>
        <v>1.0636896785456855</v>
      </c>
      <c r="Q423" s="37">
        <f t="shared" si="83"/>
        <v>0.47513241579458543</v>
      </c>
      <c r="R423" s="39">
        <f t="shared" si="84"/>
        <v>1.0173742228096001</v>
      </c>
    </row>
    <row r="424" spans="2:18" customFormat="1" x14ac:dyDescent="0.25">
      <c r="B424" s="19" t="s">
        <v>1082</v>
      </c>
      <c r="C424" s="3" t="s">
        <v>893</v>
      </c>
      <c r="D424" s="3">
        <v>3.1666666666666665</v>
      </c>
      <c r="E424" s="3">
        <v>17.698075140058723</v>
      </c>
      <c r="F424" s="3">
        <v>990</v>
      </c>
      <c r="G424" s="4">
        <v>5.24</v>
      </c>
      <c r="H424" s="7"/>
      <c r="I424" s="7"/>
      <c r="J424" s="38">
        <f t="shared" si="85"/>
        <v>5.9920986402810072</v>
      </c>
      <c r="K424" s="37">
        <f t="shared" si="86"/>
        <v>7.642103961812472</v>
      </c>
      <c r="L424" s="37">
        <f t="shared" si="87"/>
        <v>2.8218661816655439</v>
      </c>
      <c r="M424" s="39">
        <f t="shared" si="88"/>
        <v>5.9923114338355328</v>
      </c>
      <c r="N424" s="117"/>
      <c r="O424" s="38">
        <f t="shared" si="81"/>
        <v>1.892241675878213</v>
      </c>
      <c r="P424" s="37">
        <f t="shared" si="82"/>
        <v>2.4132959879407809</v>
      </c>
      <c r="Q424" s="37">
        <f t="shared" si="83"/>
        <v>0.891115636315435</v>
      </c>
      <c r="R424" s="39">
        <f t="shared" si="84"/>
        <v>1.8923088738428</v>
      </c>
    </row>
    <row r="425" spans="2:18" customFormat="1" x14ac:dyDescent="0.25">
      <c r="B425" s="19" t="s">
        <v>1082</v>
      </c>
      <c r="C425" s="3" t="s">
        <v>894</v>
      </c>
      <c r="D425" s="3">
        <v>4</v>
      </c>
      <c r="E425" s="3">
        <v>19.361878469133515</v>
      </c>
      <c r="F425" s="3">
        <v>956</v>
      </c>
      <c r="G425" s="4">
        <v>7.24</v>
      </c>
      <c r="H425" s="7"/>
      <c r="I425" s="7"/>
      <c r="J425" s="38">
        <f t="shared" si="85"/>
        <v>8.6110668148841416</v>
      </c>
      <c r="K425" s="37">
        <f t="shared" si="86"/>
        <v>10.800090951239921</v>
      </c>
      <c r="L425" s="37">
        <f t="shared" si="87"/>
        <v>5.3553997132374258</v>
      </c>
      <c r="M425" s="39">
        <f t="shared" si="88"/>
        <v>17.125688723136999</v>
      </c>
      <c r="N425" s="117"/>
      <c r="O425" s="38">
        <f t="shared" si="81"/>
        <v>2.1527667037210354</v>
      </c>
      <c r="P425" s="37">
        <f t="shared" si="82"/>
        <v>2.7000227378099804</v>
      </c>
      <c r="Q425" s="37">
        <f t="shared" si="83"/>
        <v>1.3388499283093565</v>
      </c>
      <c r="R425" s="39">
        <f t="shared" si="84"/>
        <v>4.2814221807842499</v>
      </c>
    </row>
    <row r="426" spans="2:18" customFormat="1" x14ac:dyDescent="0.25">
      <c r="B426" s="19" t="s">
        <v>1082</v>
      </c>
      <c r="C426" s="3" t="s">
        <v>895</v>
      </c>
      <c r="D426" s="3">
        <v>4</v>
      </c>
      <c r="E426" s="3">
        <v>13.579506855562942</v>
      </c>
      <c r="F426" s="3">
        <v>930</v>
      </c>
      <c r="G426" s="4">
        <v>5.25</v>
      </c>
      <c r="H426" s="7"/>
      <c r="I426" s="7"/>
      <c r="J426" s="38">
        <f t="shared" si="85"/>
        <v>6.3815911689227889</v>
      </c>
      <c r="K426" s="37">
        <f t="shared" si="86"/>
        <v>7.5746735703805479</v>
      </c>
      <c r="L426" s="37">
        <f t="shared" si="87"/>
        <v>2.9552349962779458</v>
      </c>
      <c r="M426" s="39">
        <f t="shared" si="88"/>
        <v>6.3411413170674553</v>
      </c>
      <c r="N426" s="117"/>
      <c r="O426" s="38">
        <f t="shared" si="81"/>
        <v>1.5953977922306972</v>
      </c>
      <c r="P426" s="37">
        <f t="shared" si="82"/>
        <v>1.893668392595137</v>
      </c>
      <c r="Q426" s="37">
        <f t="shared" si="83"/>
        <v>0.73880874906948646</v>
      </c>
      <c r="R426" s="39">
        <f t="shared" si="84"/>
        <v>1.5852853292668638</v>
      </c>
    </row>
    <row r="427" spans="2:18" customFormat="1" x14ac:dyDescent="0.25">
      <c r="B427" s="19" t="s">
        <v>1082</v>
      </c>
      <c r="C427" s="3" t="s">
        <v>896</v>
      </c>
      <c r="D427" s="3">
        <v>4</v>
      </c>
      <c r="E427" s="3">
        <v>16.782981024753607</v>
      </c>
      <c r="F427" s="3">
        <v>1460</v>
      </c>
      <c r="G427" s="4">
        <v>5.34</v>
      </c>
      <c r="H427" s="7"/>
      <c r="I427" s="7"/>
      <c r="J427" s="38">
        <f t="shared" si="85"/>
        <v>7.0418571603334277</v>
      </c>
      <c r="K427" s="37">
        <f t="shared" si="86"/>
        <v>9.3615772761528131</v>
      </c>
      <c r="L427" s="37">
        <f t="shared" si="87"/>
        <v>7.6543531254145591</v>
      </c>
      <c r="M427" s="39">
        <f t="shared" si="88"/>
        <v>19.811977105346042</v>
      </c>
      <c r="N427" s="117"/>
      <c r="O427" s="38">
        <f t="shared" si="81"/>
        <v>1.7604642900833569</v>
      </c>
      <c r="P427" s="37">
        <f t="shared" si="82"/>
        <v>2.3403943190382033</v>
      </c>
      <c r="Q427" s="37">
        <f t="shared" si="83"/>
        <v>1.9135882813536398</v>
      </c>
      <c r="R427" s="39">
        <f t="shared" si="84"/>
        <v>4.9529942763365105</v>
      </c>
    </row>
    <row r="428" spans="2:18" customFormat="1" x14ac:dyDescent="0.25">
      <c r="B428" s="19" t="s">
        <v>1082</v>
      </c>
      <c r="C428" s="3" t="s">
        <v>897</v>
      </c>
      <c r="D428" s="3">
        <v>3.9166666666666665</v>
      </c>
      <c r="E428" s="3">
        <v>12.670533113832208</v>
      </c>
      <c r="F428" s="3">
        <v>1219</v>
      </c>
      <c r="G428" s="4">
        <v>12.41</v>
      </c>
      <c r="H428" s="7"/>
      <c r="I428" s="7"/>
      <c r="J428" s="38">
        <f t="shared" si="85"/>
        <v>5.7317143327442226</v>
      </c>
      <c r="K428" s="37">
        <f t="shared" si="86"/>
        <v>6.9228470659644907</v>
      </c>
      <c r="L428" s="37">
        <f t="shared" si="87"/>
        <v>3.6761181600164061</v>
      </c>
      <c r="M428" s="39">
        <f t="shared" si="88"/>
        <v>7.0990898689201547</v>
      </c>
      <c r="N428" s="117"/>
      <c r="O428" s="38">
        <f t="shared" si="81"/>
        <v>1.4634164253815036</v>
      </c>
      <c r="P428" s="37">
        <f t="shared" si="82"/>
        <v>1.7675354210973169</v>
      </c>
      <c r="Q428" s="37">
        <f t="shared" si="83"/>
        <v>0.93858336000418885</v>
      </c>
      <c r="R428" s="39">
        <f t="shared" si="84"/>
        <v>1.8125335835540821</v>
      </c>
    </row>
    <row r="429" spans="2:18" customFormat="1" x14ac:dyDescent="0.25">
      <c r="B429" s="19" t="s">
        <v>1082</v>
      </c>
      <c r="C429" s="3" t="s">
        <v>898</v>
      </c>
      <c r="D429" s="3">
        <v>3.9166666666666665</v>
      </c>
      <c r="E429" s="3">
        <v>17.607104456883722</v>
      </c>
      <c r="F429" s="3">
        <v>1219</v>
      </c>
      <c r="G429" s="4">
        <v>16.63</v>
      </c>
      <c r="H429" s="7"/>
      <c r="I429" s="7"/>
      <c r="J429" s="38">
        <f t="shared" si="85"/>
        <v>7.4240562024257839</v>
      </c>
      <c r="K429" s="37">
        <f t="shared" si="86"/>
        <v>9.6200602085480629</v>
      </c>
      <c r="L429" s="37">
        <f t="shared" si="87"/>
        <v>5.9454726496926193</v>
      </c>
      <c r="M429" s="39">
        <f t="shared" si="88"/>
        <v>16.164444498064295</v>
      </c>
      <c r="N429" s="117"/>
      <c r="O429" s="38">
        <f t="shared" si="81"/>
        <v>1.8955037112576469</v>
      </c>
      <c r="P429" s="37">
        <f t="shared" si="82"/>
        <v>2.4561855851612076</v>
      </c>
      <c r="Q429" s="37">
        <f t="shared" si="83"/>
        <v>1.5179930169427964</v>
      </c>
      <c r="R429" s="39">
        <f t="shared" si="84"/>
        <v>4.1270922122717355</v>
      </c>
    </row>
    <row r="430" spans="2:18" customFormat="1" x14ac:dyDescent="0.25">
      <c r="B430" s="19" t="s">
        <v>1082</v>
      </c>
      <c r="C430" s="3" t="s">
        <v>899</v>
      </c>
      <c r="D430" s="3">
        <v>3.9166666666666665</v>
      </c>
      <c r="E430" s="3">
        <v>13.616709287917086</v>
      </c>
      <c r="F430" s="3">
        <v>1115</v>
      </c>
      <c r="G430" s="4">
        <v>12.66</v>
      </c>
      <c r="H430" s="7"/>
      <c r="I430" s="7"/>
      <c r="J430" s="38">
        <f t="shared" si="85"/>
        <v>6.1057132194696715</v>
      </c>
      <c r="K430" s="37">
        <f t="shared" si="86"/>
        <v>7.4398129182930122</v>
      </c>
      <c r="L430" s="37">
        <f t="shared" si="87"/>
        <v>3.5554350944719695</v>
      </c>
      <c r="M430" s="39">
        <f t="shared" si="88"/>
        <v>7.3810139277222273</v>
      </c>
      <c r="N430" s="117"/>
      <c r="O430" s="38">
        <f t="shared" si="81"/>
        <v>1.5589055028433205</v>
      </c>
      <c r="P430" s="37">
        <f t="shared" si="82"/>
        <v>1.8995267025428968</v>
      </c>
      <c r="Q430" s="37">
        <f t="shared" si="83"/>
        <v>0.90777066241837523</v>
      </c>
      <c r="R430" s="39">
        <f t="shared" si="84"/>
        <v>1.884514194312058</v>
      </c>
    </row>
    <row r="431" spans="2:18" customFormat="1" x14ac:dyDescent="0.25">
      <c r="B431" s="19" t="s">
        <v>1082</v>
      </c>
      <c r="C431" s="3" t="s">
        <v>900</v>
      </c>
      <c r="D431" s="3">
        <v>3.9166666666666665</v>
      </c>
      <c r="E431" s="3">
        <v>17.709949693197292</v>
      </c>
      <c r="F431" s="3">
        <v>1208</v>
      </c>
      <c r="G431" s="4">
        <v>17.760000000000002</v>
      </c>
      <c r="H431" s="7"/>
      <c r="I431" s="7"/>
      <c r="J431" s="38">
        <f t="shared" si="85"/>
        <v>7.4749421201616322</v>
      </c>
      <c r="K431" s="37">
        <f t="shared" si="86"/>
        <v>9.676252149018552</v>
      </c>
      <c r="L431" s="37">
        <f t="shared" si="87"/>
        <v>5.9261166196640707</v>
      </c>
      <c r="M431" s="39">
        <f t="shared" si="88"/>
        <v>16.238658091234541</v>
      </c>
      <c r="N431" s="117"/>
      <c r="O431" s="38">
        <f t="shared" si="81"/>
        <v>1.9084958604667999</v>
      </c>
      <c r="P431" s="37">
        <f t="shared" si="82"/>
        <v>2.4705324635792048</v>
      </c>
      <c r="Q431" s="37">
        <f t="shared" si="83"/>
        <v>1.5130510518291245</v>
      </c>
      <c r="R431" s="39">
        <f t="shared" si="84"/>
        <v>4.1460403637194574</v>
      </c>
    </row>
    <row r="432" spans="2:18" customFormat="1" x14ac:dyDescent="0.25">
      <c r="B432" s="19" t="s">
        <v>1082</v>
      </c>
      <c r="C432" s="3" t="s">
        <v>901</v>
      </c>
      <c r="D432" s="3">
        <v>3.9166666666666665</v>
      </c>
      <c r="E432" s="3">
        <v>10.551921245772604</v>
      </c>
      <c r="F432" s="3">
        <v>583</v>
      </c>
      <c r="G432" s="4">
        <v>13.63</v>
      </c>
      <c r="H432" s="7"/>
      <c r="I432" s="7"/>
      <c r="J432" s="38">
        <f t="shared" si="85"/>
        <v>5.5750460604735173</v>
      </c>
      <c r="K432" s="37">
        <f t="shared" si="86"/>
        <v>5.7652930922723771</v>
      </c>
      <c r="L432" s="37">
        <f t="shared" si="87"/>
        <v>1.3880137075403343</v>
      </c>
      <c r="M432" s="39">
        <f t="shared" si="88"/>
        <v>2.4121437808891906</v>
      </c>
      <c r="N432" s="117"/>
      <c r="O432" s="38">
        <f t="shared" si="81"/>
        <v>1.423416015440047</v>
      </c>
      <c r="P432" s="37">
        <f t="shared" si="82"/>
        <v>1.4719897256865644</v>
      </c>
      <c r="Q432" s="37">
        <f t="shared" si="83"/>
        <v>0.35438647852093641</v>
      </c>
      <c r="R432" s="39">
        <f t="shared" si="84"/>
        <v>0.615866497248304</v>
      </c>
    </row>
    <row r="433" spans="2:18" customFormat="1" x14ac:dyDescent="0.25">
      <c r="B433" s="19" t="s">
        <v>1082</v>
      </c>
      <c r="C433" s="3" t="s">
        <v>902</v>
      </c>
      <c r="D433" s="3">
        <v>3.9166666666666665</v>
      </c>
      <c r="E433" s="3">
        <v>8.8241212757045755</v>
      </c>
      <c r="F433" s="3">
        <v>1104</v>
      </c>
      <c r="G433" s="4">
        <v>10.84</v>
      </c>
      <c r="H433" s="7"/>
      <c r="I433" s="7"/>
      <c r="J433" s="38">
        <f t="shared" si="85"/>
        <v>4.7564460738896583</v>
      </c>
      <c r="K433" s="37">
        <f t="shared" si="86"/>
        <v>4.8212684923681293</v>
      </c>
      <c r="L433" s="37">
        <f t="shared" si="87"/>
        <v>2.1999844643944333</v>
      </c>
      <c r="M433" s="39">
        <f t="shared" si="88"/>
        <v>3.2788779567945667</v>
      </c>
      <c r="N433" s="117"/>
      <c r="O433" s="38">
        <f t="shared" si="81"/>
        <v>1.2144117635462959</v>
      </c>
      <c r="P433" s="37">
        <f t="shared" si="82"/>
        <v>1.2309621682642033</v>
      </c>
      <c r="Q433" s="37">
        <f t="shared" si="83"/>
        <v>0.56169816112198301</v>
      </c>
      <c r="R433" s="39">
        <f t="shared" si="84"/>
        <v>0.83716032939435747</v>
      </c>
    </row>
    <row r="434" spans="2:18" customFormat="1" x14ac:dyDescent="0.25">
      <c r="B434" s="19" t="s">
        <v>1082</v>
      </c>
      <c r="C434" s="3" t="s">
        <v>903</v>
      </c>
      <c r="D434" s="3">
        <v>3.9166666666666665</v>
      </c>
      <c r="E434" s="3">
        <v>16.372961621120847</v>
      </c>
      <c r="F434" s="3">
        <v>1000</v>
      </c>
      <c r="G434" s="4">
        <v>12.58</v>
      </c>
      <c r="H434" s="7"/>
      <c r="I434" s="7"/>
      <c r="J434" s="38">
        <f t="shared" si="85"/>
        <v>7.1616245108747423</v>
      </c>
      <c r="K434" s="37">
        <f t="shared" si="86"/>
        <v>8.9457569229021718</v>
      </c>
      <c r="L434" s="37">
        <f t="shared" si="87"/>
        <v>4.0475180250587748</v>
      </c>
      <c r="M434" s="39">
        <f t="shared" si="88"/>
        <v>10.247196763203387</v>
      </c>
      <c r="N434" s="117"/>
      <c r="O434" s="38">
        <f t="shared" si="81"/>
        <v>1.8284998751169554</v>
      </c>
      <c r="P434" s="37">
        <f t="shared" si="82"/>
        <v>2.2840230441452354</v>
      </c>
      <c r="Q434" s="37">
        <f t="shared" si="83"/>
        <v>1.0334088574618148</v>
      </c>
      <c r="R434" s="39">
        <f t="shared" si="84"/>
        <v>2.6163055565625672</v>
      </c>
    </row>
    <row r="435" spans="2:18" customFormat="1" x14ac:dyDescent="0.25">
      <c r="B435" s="19" t="s">
        <v>1082</v>
      </c>
      <c r="C435" s="3" t="s">
        <v>904</v>
      </c>
      <c r="D435" s="3">
        <v>3.9166666666666665</v>
      </c>
      <c r="E435" s="3">
        <v>16.06442591218013</v>
      </c>
      <c r="F435" s="3">
        <v>979</v>
      </c>
      <c r="G435" s="4">
        <v>9.25</v>
      </c>
      <c r="H435" s="7"/>
      <c r="I435" s="7"/>
      <c r="J435" s="38">
        <f t="shared" si="85"/>
        <v>7.0661686137009179</v>
      </c>
      <c r="K435" s="37">
        <f t="shared" si="86"/>
        <v>8.7771811014906991</v>
      </c>
      <c r="L435" s="37">
        <f t="shared" si="87"/>
        <v>3.8294016630698349</v>
      </c>
      <c r="M435" s="39">
        <f t="shared" si="88"/>
        <v>9.5028733954644</v>
      </c>
      <c r="N435" s="117"/>
      <c r="O435" s="38">
        <f t="shared" si="81"/>
        <v>1.8041281566895961</v>
      </c>
      <c r="P435" s="37">
        <f t="shared" si="82"/>
        <v>2.2409824088912425</v>
      </c>
      <c r="Q435" s="37">
        <f t="shared" si="83"/>
        <v>0.97771957354974515</v>
      </c>
      <c r="R435" s="39">
        <f t="shared" si="84"/>
        <v>2.426265547778145</v>
      </c>
    </row>
    <row r="436" spans="2:18" customFormat="1" x14ac:dyDescent="0.25">
      <c r="B436" s="19" t="s">
        <v>1082</v>
      </c>
      <c r="C436" s="3" t="s">
        <v>905</v>
      </c>
      <c r="D436" s="3">
        <v>3.9166666666666665</v>
      </c>
      <c r="E436" s="3">
        <v>27.110004292257884</v>
      </c>
      <c r="F436" s="3">
        <v>999</v>
      </c>
      <c r="G436" s="4">
        <v>16.440000000000001</v>
      </c>
      <c r="H436" s="7"/>
      <c r="I436" s="7"/>
      <c r="J436" s="38">
        <f t="shared" si="85"/>
        <v>12.573155653276531</v>
      </c>
      <c r="K436" s="37">
        <f t="shared" si="86"/>
        <v>14.812195508021436</v>
      </c>
      <c r="L436" s="37">
        <f t="shared" si="87"/>
        <v>11.502650023888393</v>
      </c>
      <c r="M436" s="39">
        <f t="shared" si="88"/>
        <v>61.286243329971619</v>
      </c>
      <c r="N436" s="117"/>
      <c r="O436" s="38">
        <f t="shared" si="81"/>
        <v>3.2101674008365615</v>
      </c>
      <c r="P436" s="37">
        <f t="shared" si="82"/>
        <v>3.7818371509841966</v>
      </c>
      <c r="Q436" s="37">
        <f t="shared" si="83"/>
        <v>2.9368468146098023</v>
      </c>
      <c r="R436" s="39">
        <f t="shared" si="84"/>
        <v>15.647551488503392</v>
      </c>
    </row>
    <row r="437" spans="2:18" customFormat="1" x14ac:dyDescent="0.25">
      <c r="B437" s="19" t="s">
        <v>1082</v>
      </c>
      <c r="C437" s="3" t="s">
        <v>906</v>
      </c>
      <c r="D437" s="3">
        <v>3.9166666666666665</v>
      </c>
      <c r="E437" s="3">
        <v>10.428506962196316</v>
      </c>
      <c r="F437" s="3">
        <v>1117</v>
      </c>
      <c r="G437" s="4">
        <v>10.47</v>
      </c>
      <c r="H437" s="7"/>
      <c r="I437" s="7"/>
      <c r="J437" s="38">
        <f t="shared" si="85"/>
        <v>5.164864184750396</v>
      </c>
      <c r="K437" s="37">
        <f t="shared" si="86"/>
        <v>5.6978627637077883</v>
      </c>
      <c r="L437" s="37">
        <f t="shared" si="87"/>
        <v>2.612721558321085</v>
      </c>
      <c r="M437" s="39">
        <f t="shared" si="88"/>
        <v>4.3482466778909412</v>
      </c>
      <c r="N437" s="117"/>
      <c r="O437" s="38">
        <f t="shared" si="81"/>
        <v>1.3186887280213777</v>
      </c>
      <c r="P437" s="37">
        <f t="shared" si="82"/>
        <v>1.4547734715849674</v>
      </c>
      <c r="Q437" s="37">
        <f t="shared" si="83"/>
        <v>0.66707784467772391</v>
      </c>
      <c r="R437" s="39">
        <f t="shared" si="84"/>
        <v>1.1101906411636446</v>
      </c>
    </row>
    <row r="438" spans="2:18" customFormat="1" x14ac:dyDescent="0.25">
      <c r="B438" s="19" t="s">
        <v>1082</v>
      </c>
      <c r="C438" s="3" t="s">
        <v>907</v>
      </c>
      <c r="D438" s="3">
        <v>3.9166666666666665</v>
      </c>
      <c r="E438" s="3">
        <v>13.390449768027219</v>
      </c>
      <c r="F438" s="3">
        <v>688</v>
      </c>
      <c r="G438" s="4">
        <v>15.4</v>
      </c>
      <c r="H438" s="7"/>
      <c r="I438" s="7"/>
      <c r="J438" s="38">
        <f t="shared" si="85"/>
        <v>6.3808693099077187</v>
      </c>
      <c r="K438" s="37">
        <f t="shared" si="86"/>
        <v>7.3161906492579272</v>
      </c>
      <c r="L438" s="37">
        <f t="shared" si="87"/>
        <v>2.0772668818893023</v>
      </c>
      <c r="M438" s="39">
        <f t="shared" si="88"/>
        <v>4.3647598733358617</v>
      </c>
      <c r="N438" s="117"/>
      <c r="O438" s="38">
        <f t="shared" si="81"/>
        <v>1.6291581216785664</v>
      </c>
      <c r="P438" s="37">
        <f t="shared" si="82"/>
        <v>1.8679635700233006</v>
      </c>
      <c r="Q438" s="37">
        <f t="shared" si="83"/>
        <v>0.53036601239726866</v>
      </c>
      <c r="R438" s="39">
        <f t="shared" si="84"/>
        <v>1.1144067761708583</v>
      </c>
    </row>
    <row r="439" spans="2:18" customFormat="1" x14ac:dyDescent="0.25">
      <c r="B439" s="19" t="s">
        <v>1082</v>
      </c>
      <c r="C439" s="3" t="s">
        <v>908</v>
      </c>
      <c r="D439" s="3">
        <v>3.9166666666666665</v>
      </c>
      <c r="E439" s="3">
        <v>11.82720217606091</v>
      </c>
      <c r="F439" s="3">
        <v>958</v>
      </c>
      <c r="G439" s="4">
        <v>10.39</v>
      </c>
      <c r="H439" s="7"/>
      <c r="I439" s="7"/>
      <c r="J439" s="38">
        <f t="shared" si="85"/>
        <v>5.6746519267555504</v>
      </c>
      <c r="K439" s="37">
        <f t="shared" si="86"/>
        <v>6.4620731541064655</v>
      </c>
      <c r="L439" s="37">
        <f t="shared" si="87"/>
        <v>2.4711863712803992</v>
      </c>
      <c r="M439" s="39">
        <f t="shared" si="88"/>
        <v>4.5783323418675197</v>
      </c>
      <c r="N439" s="117"/>
      <c r="O439" s="38">
        <f t="shared" si="81"/>
        <v>1.4488473004482256</v>
      </c>
      <c r="P439" s="37">
        <f t="shared" si="82"/>
        <v>1.6498910180697359</v>
      </c>
      <c r="Q439" s="37">
        <f t="shared" si="83"/>
        <v>0.63094120117797425</v>
      </c>
      <c r="R439" s="39">
        <f t="shared" si="84"/>
        <v>1.1689359170725582</v>
      </c>
    </row>
    <row r="440" spans="2:18" customFormat="1" x14ac:dyDescent="0.25">
      <c r="B440" s="19" t="s">
        <v>1082</v>
      </c>
      <c r="C440" s="3" t="s">
        <v>909</v>
      </c>
      <c r="D440" s="3">
        <v>3.9166666666666665</v>
      </c>
      <c r="E440" s="3">
        <v>11.621511703433764</v>
      </c>
      <c r="F440" s="3">
        <v>1135</v>
      </c>
      <c r="G440" s="4">
        <v>10.38</v>
      </c>
      <c r="H440" s="7"/>
      <c r="I440" s="7"/>
      <c r="J440" s="38">
        <f t="shared" si="85"/>
        <v>5.4851399387682624</v>
      </c>
      <c r="K440" s="37">
        <f t="shared" si="86"/>
        <v>6.3496892731654837</v>
      </c>
      <c r="L440" s="37">
        <f t="shared" si="87"/>
        <v>2.9990787328511299</v>
      </c>
      <c r="M440" s="39">
        <f t="shared" si="88"/>
        <v>5.4150575245583408</v>
      </c>
      <c r="N440" s="117"/>
      <c r="O440" s="38">
        <f t="shared" si="81"/>
        <v>1.4004612609621097</v>
      </c>
      <c r="P440" s="37">
        <f t="shared" si="82"/>
        <v>1.6211972612337406</v>
      </c>
      <c r="Q440" s="37">
        <f t="shared" si="83"/>
        <v>0.76572222966411829</v>
      </c>
      <c r="R440" s="39">
        <f t="shared" si="84"/>
        <v>1.3825678786106403</v>
      </c>
    </row>
    <row r="441" spans="2:18" customFormat="1" x14ac:dyDescent="0.25">
      <c r="B441" s="19" t="s">
        <v>1082</v>
      </c>
      <c r="C441" s="3" t="s">
        <v>910</v>
      </c>
      <c r="D441" s="3">
        <v>3.9166666666666665</v>
      </c>
      <c r="E441" s="3">
        <v>7.2197355892128323</v>
      </c>
      <c r="F441" s="3">
        <v>1083</v>
      </c>
      <c r="G441" s="4">
        <v>7.09</v>
      </c>
      <c r="H441" s="7"/>
      <c r="I441" s="7"/>
      <c r="J441" s="38">
        <f t="shared" si="85"/>
        <v>4.384917123199763</v>
      </c>
      <c r="K441" s="37">
        <f t="shared" si="86"/>
        <v>3.9446742210284675</v>
      </c>
      <c r="L441" s="37">
        <f t="shared" si="87"/>
        <v>1.8346471545952101</v>
      </c>
      <c r="M441" s="39">
        <f t="shared" si="88"/>
        <v>2.4500142815919803</v>
      </c>
      <c r="N441" s="117"/>
      <c r="O441" s="38">
        <f t="shared" si="81"/>
        <v>1.1195533080510034</v>
      </c>
      <c r="P441" s="37">
        <f t="shared" si="82"/>
        <v>1.0071508649434386</v>
      </c>
      <c r="Q441" s="37">
        <f t="shared" si="83"/>
        <v>0.46842055010941536</v>
      </c>
      <c r="R441" s="39">
        <f t="shared" si="84"/>
        <v>0.62553556125752696</v>
      </c>
    </row>
    <row r="442" spans="2:18" customFormat="1" x14ac:dyDescent="0.25">
      <c r="B442" s="19" t="s">
        <v>1082</v>
      </c>
      <c r="C442" s="3" t="s">
        <v>911</v>
      </c>
      <c r="D442" s="3">
        <v>3.9166666666666665</v>
      </c>
      <c r="E442" s="3">
        <v>21.453516295011344</v>
      </c>
      <c r="F442" s="3">
        <v>1125</v>
      </c>
      <c r="G442" s="4">
        <v>16.62</v>
      </c>
      <c r="H442" s="7"/>
      <c r="I442" s="7"/>
      <c r="J442" s="38">
        <f t="shared" si="85"/>
        <v>9.1946194541300539</v>
      </c>
      <c r="K442" s="37">
        <f t="shared" si="86"/>
        <v>11.721638782144421</v>
      </c>
      <c r="L442" s="37">
        <f t="shared" si="87"/>
        <v>7.7196890106500744</v>
      </c>
      <c r="M442" s="39">
        <f t="shared" si="88"/>
        <v>27.566502468087748</v>
      </c>
      <c r="N442" s="117"/>
      <c r="O442" s="38">
        <f t="shared" si="81"/>
        <v>2.3475624138204392</v>
      </c>
      <c r="P442" s="37">
        <f t="shared" si="82"/>
        <v>2.9927588379943204</v>
      </c>
      <c r="Q442" s="37">
        <f t="shared" si="83"/>
        <v>1.9709844282510829</v>
      </c>
      <c r="R442" s="39">
        <f t="shared" si="84"/>
        <v>7.0382559492989998</v>
      </c>
    </row>
    <row r="443" spans="2:18" customFormat="1" x14ac:dyDescent="0.25">
      <c r="B443" s="19" t="s">
        <v>1082</v>
      </c>
      <c r="C443" s="3" t="s">
        <v>912</v>
      </c>
      <c r="D443" s="3">
        <v>3.9166666666666665</v>
      </c>
      <c r="E443" s="3">
        <v>6.9111998802721137</v>
      </c>
      <c r="F443" s="3">
        <v>844</v>
      </c>
      <c r="G443" s="4">
        <v>10.83</v>
      </c>
      <c r="H443" s="7"/>
      <c r="I443" s="7"/>
      <c r="J443" s="38">
        <f t="shared" si="85"/>
        <v>4.4518079504955939</v>
      </c>
      <c r="K443" s="37">
        <f t="shared" si="86"/>
        <v>3.7760983996169952</v>
      </c>
      <c r="L443" s="37">
        <f t="shared" si="87"/>
        <v>1.3341986960949788</v>
      </c>
      <c r="M443" s="39">
        <f t="shared" si="88"/>
        <v>1.771325059423261</v>
      </c>
      <c r="N443" s="117"/>
      <c r="O443" s="38">
        <f t="shared" si="81"/>
        <v>1.1366318171478111</v>
      </c>
      <c r="P443" s="37">
        <f t="shared" si="82"/>
        <v>0.9641102296894456</v>
      </c>
      <c r="Q443" s="37">
        <f t="shared" si="83"/>
        <v>0.34064647559871797</v>
      </c>
      <c r="R443" s="39">
        <f t="shared" si="84"/>
        <v>0.45225320666125812</v>
      </c>
    </row>
    <row r="444" spans="2:18" customFormat="1" x14ac:dyDescent="0.25">
      <c r="B444" s="19" t="s">
        <v>1082</v>
      </c>
      <c r="C444" s="3" t="s">
        <v>913</v>
      </c>
      <c r="D444" s="3">
        <v>3.9166666666666665</v>
      </c>
      <c r="E444" s="3">
        <v>15.28280211619697</v>
      </c>
      <c r="F444" s="3">
        <v>1096</v>
      </c>
      <c r="G444" s="4">
        <v>11.2</v>
      </c>
      <c r="H444" s="7"/>
      <c r="I444" s="7"/>
      <c r="J444" s="38">
        <f t="shared" si="85"/>
        <v>6.6794046081299605</v>
      </c>
      <c r="K444" s="37">
        <f t="shared" si="86"/>
        <v>8.3501223539149674</v>
      </c>
      <c r="L444" s="37">
        <f t="shared" si="87"/>
        <v>4.0869755646106007</v>
      </c>
      <c r="M444" s="39">
        <f t="shared" si="88"/>
        <v>9.5345689866680239</v>
      </c>
      <c r="N444" s="117"/>
      <c r="O444" s="38">
        <f t="shared" si="81"/>
        <v>1.7053798999480752</v>
      </c>
      <c r="P444" s="37">
        <f t="shared" si="82"/>
        <v>2.13194613291446</v>
      </c>
      <c r="Q444" s="37">
        <f t="shared" si="83"/>
        <v>1.0434831228793024</v>
      </c>
      <c r="R444" s="39">
        <f t="shared" si="84"/>
        <v>2.4343580391492829</v>
      </c>
    </row>
    <row r="445" spans="2:18" customFormat="1" x14ac:dyDescent="0.25">
      <c r="B445" s="19" t="s">
        <v>1082</v>
      </c>
      <c r="C445" s="3" t="s">
        <v>914</v>
      </c>
      <c r="D445" s="3">
        <v>3.9166666666666665</v>
      </c>
      <c r="E445" s="3">
        <v>13.020206917298355</v>
      </c>
      <c r="F445" s="3">
        <v>1046</v>
      </c>
      <c r="G445" s="4">
        <v>11.66</v>
      </c>
      <c r="H445" s="7"/>
      <c r="I445" s="7"/>
      <c r="J445" s="38">
        <f t="shared" si="85"/>
        <v>5.9715291072024117</v>
      </c>
      <c r="K445" s="37">
        <f t="shared" si="86"/>
        <v>7.1138996635641591</v>
      </c>
      <c r="L445" s="37">
        <f t="shared" si="87"/>
        <v>3.086695432513145</v>
      </c>
      <c r="M445" s="39">
        <f t="shared" si="88"/>
        <v>6.1760914294951847</v>
      </c>
      <c r="N445" s="117"/>
      <c r="O445" s="38">
        <f t="shared" si="81"/>
        <v>1.5246457294984881</v>
      </c>
      <c r="P445" s="37">
        <f t="shared" si="82"/>
        <v>1.8163148077185087</v>
      </c>
      <c r="Q445" s="37">
        <f t="shared" si="83"/>
        <v>0.78809245085442003</v>
      </c>
      <c r="R445" s="39">
        <f t="shared" si="84"/>
        <v>1.5768744075306855</v>
      </c>
    </row>
    <row r="446" spans="2:18" customFormat="1" x14ac:dyDescent="0.25">
      <c r="B446" s="19" t="s">
        <v>1082</v>
      </c>
      <c r="C446" s="3" t="s">
        <v>915</v>
      </c>
      <c r="D446" s="3">
        <v>3.9166666666666665</v>
      </c>
      <c r="E446" s="3">
        <v>11.210130758179472</v>
      </c>
      <c r="F446" s="3">
        <v>1116</v>
      </c>
      <c r="G446" s="4">
        <v>10.67</v>
      </c>
      <c r="H446" s="7"/>
      <c r="I446" s="7"/>
      <c r="J446" s="38">
        <f t="shared" si="85"/>
        <v>5.3815280886774106</v>
      </c>
      <c r="K446" s="37">
        <f t="shared" si="86"/>
        <v>6.12492151128352</v>
      </c>
      <c r="L446" s="37">
        <f t="shared" si="87"/>
        <v>2.8159727522423279</v>
      </c>
      <c r="M446" s="39">
        <f t="shared" si="88"/>
        <v>4.9476607152723204</v>
      </c>
      <c r="N446" s="117"/>
      <c r="O446" s="38">
        <f t="shared" si="81"/>
        <v>1.3740071715772113</v>
      </c>
      <c r="P446" s="37">
        <f t="shared" si="82"/>
        <v>1.5638097475617498</v>
      </c>
      <c r="Q446" s="37">
        <f t="shared" si="83"/>
        <v>0.71897176652995609</v>
      </c>
      <c r="R446" s="39">
        <f t="shared" si="84"/>
        <v>1.2632325230482522</v>
      </c>
    </row>
    <row r="447" spans="2:18" customFormat="1" x14ac:dyDescent="0.25">
      <c r="B447" s="19" t="s">
        <v>1082</v>
      </c>
      <c r="C447" s="3" t="s">
        <v>916</v>
      </c>
      <c r="D447" s="3">
        <v>3.9166666666666665</v>
      </c>
      <c r="E447" s="3">
        <v>7.096321305636546</v>
      </c>
      <c r="F447" s="3">
        <v>917</v>
      </c>
      <c r="G447" s="4">
        <v>6.55</v>
      </c>
      <c r="H447" s="7"/>
      <c r="I447" s="7"/>
      <c r="J447" s="38">
        <f t="shared" si="85"/>
        <v>4.4524252744798778</v>
      </c>
      <c r="K447" s="37">
        <f t="shared" si="86"/>
        <v>3.8772438924638792</v>
      </c>
      <c r="L447" s="37">
        <f t="shared" si="87"/>
        <v>1.4835989510687906</v>
      </c>
      <c r="M447" s="39">
        <f t="shared" si="88"/>
        <v>1.9856586393052871</v>
      </c>
      <c r="N447" s="117"/>
      <c r="O447" s="38">
        <f t="shared" si="81"/>
        <v>1.1367894317820966</v>
      </c>
      <c r="P447" s="37">
        <f t="shared" si="82"/>
        <v>0.98993461084184153</v>
      </c>
      <c r="Q447" s="37">
        <f t="shared" si="83"/>
        <v>0.37879122154947847</v>
      </c>
      <c r="R447" s="39">
        <f t="shared" si="84"/>
        <v>0.50697667386517975</v>
      </c>
    </row>
    <row r="448" spans="2:18" customFormat="1" x14ac:dyDescent="0.25">
      <c r="B448" s="19" t="s">
        <v>1082</v>
      </c>
      <c r="C448" s="3" t="s">
        <v>917</v>
      </c>
      <c r="D448" s="3">
        <v>4.583333333333333</v>
      </c>
      <c r="E448" s="3">
        <v>23.444063517373344</v>
      </c>
      <c r="F448" s="3">
        <v>780</v>
      </c>
      <c r="G448" s="4">
        <v>12.07</v>
      </c>
      <c r="H448" s="7"/>
      <c r="I448" s="7"/>
      <c r="J448" s="38">
        <f t="shared" si="85"/>
        <v>12.442079286652994</v>
      </c>
      <c r="K448" s="37">
        <f t="shared" si="86"/>
        <v>14.800957051146709</v>
      </c>
      <c r="L448" s="37">
        <f t="shared" si="87"/>
        <v>8.2861595637725252</v>
      </c>
      <c r="M448" s="39">
        <f t="shared" si="88"/>
        <v>40.957800613490093</v>
      </c>
      <c r="N448" s="117"/>
      <c r="O448" s="38">
        <f t="shared" si="81"/>
        <v>2.7146354807242901</v>
      </c>
      <c r="P448" s="37">
        <f t="shared" si="82"/>
        <v>3.2292997202501912</v>
      </c>
      <c r="Q448" s="37">
        <f t="shared" si="83"/>
        <v>1.807889359368551</v>
      </c>
      <c r="R448" s="39">
        <f t="shared" si="84"/>
        <v>8.9362474065796569</v>
      </c>
    </row>
    <row r="449" spans="2:18" customFormat="1" x14ac:dyDescent="0.25">
      <c r="B449" s="19" t="s">
        <v>1082</v>
      </c>
      <c r="C449" s="3" t="s">
        <v>918</v>
      </c>
      <c r="D449" s="3">
        <v>4.583333333333333</v>
      </c>
      <c r="E449" s="3">
        <v>16.181210127025331</v>
      </c>
      <c r="F449" s="3">
        <v>680</v>
      </c>
      <c r="G449" s="4">
        <v>9.6199999999999992</v>
      </c>
      <c r="H449" s="7"/>
      <c r="I449" s="7"/>
      <c r="J449" s="38">
        <f t="shared" si="85"/>
        <v>8.6154737601922502</v>
      </c>
      <c r="K449" s="37">
        <f t="shared" si="86"/>
        <v>10.21569473006253</v>
      </c>
      <c r="L449" s="37">
        <f t="shared" si="87"/>
        <v>3.6203014969377603</v>
      </c>
      <c r="M449" s="39">
        <f t="shared" si="88"/>
        <v>10.888866321458529</v>
      </c>
      <c r="N449" s="117"/>
      <c r="O449" s="38">
        <f t="shared" si="81"/>
        <v>1.879739729496491</v>
      </c>
      <c r="P449" s="37">
        <f t="shared" si="82"/>
        <v>2.2288788501954615</v>
      </c>
      <c r="Q449" s="37">
        <f t="shared" si="83"/>
        <v>0.78988396296823871</v>
      </c>
      <c r="R449" s="39">
        <f t="shared" si="84"/>
        <v>2.3757526519545884</v>
      </c>
    </row>
    <row r="450" spans="2:18" customFormat="1" x14ac:dyDescent="0.25">
      <c r="B450" s="19" t="s">
        <v>1082</v>
      </c>
      <c r="C450" s="3" t="s">
        <v>919</v>
      </c>
      <c r="D450" s="3">
        <v>4.583333333333333</v>
      </c>
      <c r="E450" s="3">
        <v>15.80738679075742</v>
      </c>
      <c r="F450" s="3">
        <v>710</v>
      </c>
      <c r="G450" s="4">
        <v>9.16</v>
      </c>
      <c r="H450" s="7"/>
      <c r="I450" s="7"/>
      <c r="J450" s="38">
        <f t="shared" si="85"/>
        <v>8.4151941675824009</v>
      </c>
      <c r="K450" s="37">
        <f t="shared" si="86"/>
        <v>9.9796885811831988</v>
      </c>
      <c r="L450" s="37">
        <f t="shared" si="87"/>
        <v>3.6195896175632214</v>
      </c>
      <c r="M450" s="39">
        <f t="shared" si="88"/>
        <v>10.587673634861465</v>
      </c>
      <c r="N450" s="117"/>
      <c r="O450" s="38">
        <f t="shared" si="81"/>
        <v>1.8360423638361603</v>
      </c>
      <c r="P450" s="37">
        <f t="shared" si="82"/>
        <v>2.1773865995308799</v>
      </c>
      <c r="Q450" s="37">
        <f t="shared" si="83"/>
        <v>0.78972864383197561</v>
      </c>
      <c r="R450" s="39">
        <f t="shared" si="84"/>
        <v>2.3100378839697746</v>
      </c>
    </row>
    <row r="451" spans="2:18" customFormat="1" x14ac:dyDescent="0.25">
      <c r="B451" s="19" t="s">
        <v>1082</v>
      </c>
      <c r="C451" s="3" t="s">
        <v>920</v>
      </c>
      <c r="D451" s="3">
        <v>4.583333333333333</v>
      </c>
      <c r="E451" s="3">
        <v>13.795861219411039</v>
      </c>
      <c r="F451" s="3">
        <v>580</v>
      </c>
      <c r="G451" s="4">
        <v>10.18</v>
      </c>
      <c r="H451" s="7"/>
      <c r="I451" s="7"/>
      <c r="J451" s="38">
        <f t="shared" si="85"/>
        <v>7.7033159633043793</v>
      </c>
      <c r="K451" s="37">
        <f t="shared" si="86"/>
        <v>8.7097507324515551</v>
      </c>
      <c r="L451" s="37">
        <f t="shared" si="87"/>
        <v>2.5435180421859318</v>
      </c>
      <c r="M451" s="39">
        <f t="shared" si="88"/>
        <v>6.5269602627217207</v>
      </c>
      <c r="N451" s="117"/>
      <c r="O451" s="38">
        <f t="shared" si="81"/>
        <v>1.6807234829027737</v>
      </c>
      <c r="P451" s="37">
        <f t="shared" si="82"/>
        <v>1.900309250716703</v>
      </c>
      <c r="Q451" s="37">
        <f t="shared" si="83"/>
        <v>0.55494939102238516</v>
      </c>
      <c r="R451" s="39">
        <f t="shared" si="84"/>
        <v>1.4240640573211027</v>
      </c>
    </row>
    <row r="452" spans="2:18" customFormat="1" x14ac:dyDescent="0.25">
      <c r="B452" s="19" t="s">
        <v>1082</v>
      </c>
      <c r="C452" s="3" t="s">
        <v>921</v>
      </c>
      <c r="D452" s="3">
        <v>4.583333333333333</v>
      </c>
      <c r="E452" s="3">
        <v>14.454502335692593</v>
      </c>
      <c r="F452" s="3">
        <v>660</v>
      </c>
      <c r="G452" s="4">
        <v>9.86</v>
      </c>
      <c r="H452" s="7"/>
      <c r="I452" s="7"/>
      <c r="J452" s="38">
        <f t="shared" si="85"/>
        <v>7.8907271038420612</v>
      </c>
      <c r="K452" s="37">
        <f t="shared" si="86"/>
        <v>9.125571090000852</v>
      </c>
      <c r="L452" s="37">
        <f t="shared" si="87"/>
        <v>2.9869513056794639</v>
      </c>
      <c r="M452" s="39">
        <f t="shared" si="88"/>
        <v>7.9811799770008278</v>
      </c>
      <c r="N452" s="117"/>
      <c r="O452" s="38">
        <f t="shared" si="81"/>
        <v>1.7216131862928135</v>
      </c>
      <c r="P452" s="37">
        <f t="shared" si="82"/>
        <v>1.9910336923638223</v>
      </c>
      <c r="Q452" s="37">
        <f t="shared" si="83"/>
        <v>0.65169846669370124</v>
      </c>
      <c r="R452" s="39">
        <f t="shared" si="84"/>
        <v>1.7413483586183625</v>
      </c>
    </row>
    <row r="453" spans="2:18" customFormat="1" x14ac:dyDescent="0.25">
      <c r="B453" s="19" t="s">
        <v>1082</v>
      </c>
      <c r="C453" s="3" t="s">
        <v>922</v>
      </c>
      <c r="D453" s="3">
        <v>2.0833333333333335</v>
      </c>
      <c r="E453" s="3">
        <v>21.105646913262827</v>
      </c>
      <c r="F453" s="3">
        <v>900</v>
      </c>
      <c r="G453" s="4">
        <v>3.53</v>
      </c>
      <c r="H453" s="7"/>
      <c r="I453" s="7"/>
      <c r="J453" s="38">
        <f t="shared" si="85"/>
        <v>3.6858539581759291</v>
      </c>
      <c r="K453" s="37">
        <f t="shared" si="86"/>
        <v>4.810030239506033</v>
      </c>
      <c r="L453" s="37">
        <f t="shared" si="87"/>
        <v>0.96410305446112643</v>
      </c>
      <c r="M453" s="39">
        <f t="shared" si="88"/>
        <v>1.2585104638380618</v>
      </c>
      <c r="N453" s="117"/>
      <c r="O453" s="38">
        <f t="shared" si="81"/>
        <v>1.7692098999244459</v>
      </c>
      <c r="P453" s="37">
        <f t="shared" si="82"/>
        <v>2.3088145149628958</v>
      </c>
      <c r="Q453" s="37">
        <f t="shared" si="83"/>
        <v>0.46276946614134068</v>
      </c>
      <c r="R453" s="39">
        <f t="shared" si="84"/>
        <v>0.6040850226422696</v>
      </c>
    </row>
    <row r="454" spans="2:18" customFormat="1" x14ac:dyDescent="0.25">
      <c r="B454" s="19" t="s">
        <v>1082</v>
      </c>
      <c r="C454" s="3" t="s">
        <v>923</v>
      </c>
      <c r="D454" s="3">
        <v>2.0833333333333335</v>
      </c>
      <c r="E454" s="3">
        <v>26.924493492153058</v>
      </c>
      <c r="F454" s="3">
        <v>900</v>
      </c>
      <c r="G454" s="4">
        <v>4.24</v>
      </c>
      <c r="H454" s="7"/>
      <c r="I454" s="7"/>
      <c r="J454" s="38">
        <f t="shared" si="85"/>
        <v>5.000063090443863</v>
      </c>
      <c r="K454" s="37">
        <f t="shared" si="86"/>
        <v>6.1361600718932126</v>
      </c>
      <c r="L454" s="37">
        <f t="shared" si="87"/>
        <v>1.6991708235172014</v>
      </c>
      <c r="M454" s="39">
        <f t="shared" si="88"/>
        <v>3.3195773587583095</v>
      </c>
      <c r="N454" s="117"/>
      <c r="O454" s="38">
        <f t="shared" ref="O454:O517" si="89">J454/D454</f>
        <v>2.400030283413054</v>
      </c>
      <c r="P454" s="37">
        <f t="shared" ref="P454:P517" si="90">K454/D454</f>
        <v>2.945356834508742</v>
      </c>
      <c r="Q454" s="37">
        <f t="shared" ref="Q454:Q517" si="91">L454/D454</f>
        <v>0.81560199528825661</v>
      </c>
      <c r="R454" s="39">
        <f t="shared" ref="R454:R517" si="92">M454/D454</f>
        <v>1.5933971322039884</v>
      </c>
    </row>
    <row r="455" spans="2:18" customFormat="1" x14ac:dyDescent="0.25">
      <c r="B455" s="19" t="s">
        <v>1082</v>
      </c>
      <c r="C455" s="3" t="s">
        <v>924</v>
      </c>
      <c r="D455" s="3">
        <v>2.0833333333333335</v>
      </c>
      <c r="E455" s="3">
        <v>20.612524321831458</v>
      </c>
      <c r="F455" s="3">
        <v>880</v>
      </c>
      <c r="G455" s="4">
        <v>3.29</v>
      </c>
      <c r="H455" s="7"/>
      <c r="I455" s="7"/>
      <c r="J455" s="38">
        <f t="shared" si="85"/>
        <v>3.601243354682961</v>
      </c>
      <c r="K455" s="37">
        <f t="shared" si="86"/>
        <v>4.6976463554054266</v>
      </c>
      <c r="L455" s="37">
        <f t="shared" si="87"/>
        <v>0.896979477436749</v>
      </c>
      <c r="M455" s="39">
        <f t="shared" si="88"/>
        <v>1.1330274438745584</v>
      </c>
      <c r="N455" s="117"/>
      <c r="O455" s="38">
        <f t="shared" si="89"/>
        <v>1.7285968102478211</v>
      </c>
      <c r="P455" s="37">
        <f t="shared" si="90"/>
        <v>2.2548702505946046</v>
      </c>
      <c r="Q455" s="37">
        <f t="shared" si="91"/>
        <v>0.43055014916963946</v>
      </c>
      <c r="R455" s="39">
        <f t="shared" si="92"/>
        <v>0.54385317305978798</v>
      </c>
    </row>
    <row r="456" spans="2:18" customFormat="1" x14ac:dyDescent="0.25">
      <c r="B456" s="19" t="s">
        <v>1082</v>
      </c>
      <c r="C456" s="3" t="s">
        <v>925</v>
      </c>
      <c r="D456" s="3">
        <v>2.0833333333333335</v>
      </c>
      <c r="E456" s="3">
        <v>30.474976150458954</v>
      </c>
      <c r="F456" s="3">
        <v>940</v>
      </c>
      <c r="G456" s="4">
        <v>5.17</v>
      </c>
      <c r="H456" s="7"/>
      <c r="I456" s="7"/>
      <c r="J456" s="38">
        <f t="shared" si="85"/>
        <v>5.9911337925976742</v>
      </c>
      <c r="K456" s="37">
        <f t="shared" si="86"/>
        <v>6.945324037417592</v>
      </c>
      <c r="L456" s="37">
        <f t="shared" si="87"/>
        <v>2.5198563282357673</v>
      </c>
      <c r="M456" s="39">
        <f t="shared" si="88"/>
        <v>6.2797245915083781</v>
      </c>
      <c r="N456" s="117"/>
      <c r="O456" s="38">
        <f t="shared" si="89"/>
        <v>2.8757442204468835</v>
      </c>
      <c r="P456" s="37">
        <f t="shared" si="90"/>
        <v>3.3337555379604438</v>
      </c>
      <c r="Q456" s="37">
        <f t="shared" si="91"/>
        <v>1.2095310375531683</v>
      </c>
      <c r="R456" s="39">
        <f t="shared" si="92"/>
        <v>3.0142678039240214</v>
      </c>
    </row>
    <row r="457" spans="2:18" customFormat="1" x14ac:dyDescent="0.25">
      <c r="B457" s="19" t="s">
        <v>1082</v>
      </c>
      <c r="C457" s="3" t="s">
        <v>926</v>
      </c>
      <c r="D457" s="3">
        <v>2.0833333333333335</v>
      </c>
      <c r="E457" s="3">
        <v>23.669884388705981</v>
      </c>
      <c r="F457" s="3">
        <v>920</v>
      </c>
      <c r="G457" s="4">
        <v>4.04</v>
      </c>
      <c r="H457" s="7"/>
      <c r="I457" s="7"/>
      <c r="J457" s="38">
        <f t="shared" si="85"/>
        <v>4.2049660983081463</v>
      </c>
      <c r="K457" s="37">
        <f t="shared" si="86"/>
        <v>5.3944264368291979</v>
      </c>
      <c r="L457" s="37">
        <f t="shared" si="87"/>
        <v>1.2678391575562022</v>
      </c>
      <c r="M457" s="39">
        <f t="shared" si="88"/>
        <v>1.9742453211347493</v>
      </c>
      <c r="N457" s="117"/>
      <c r="O457" s="38">
        <f t="shared" si="89"/>
        <v>2.0183837271879099</v>
      </c>
      <c r="P457" s="37">
        <f t="shared" si="90"/>
        <v>2.5893246896780147</v>
      </c>
      <c r="Q457" s="37">
        <f t="shared" si="91"/>
        <v>0.60856279562697702</v>
      </c>
      <c r="R457" s="39">
        <f t="shared" si="92"/>
        <v>0.94763775414467954</v>
      </c>
    </row>
    <row r="458" spans="2:18" customFormat="1" x14ac:dyDescent="0.25">
      <c r="B458" s="19" t="s">
        <v>1082</v>
      </c>
      <c r="C458" s="3" t="s">
        <v>927</v>
      </c>
      <c r="D458" s="3">
        <v>2.0833333333333335</v>
      </c>
      <c r="E458" s="3">
        <v>20.71114884011773</v>
      </c>
      <c r="F458" s="3">
        <v>980</v>
      </c>
      <c r="G458" s="4">
        <v>3.51</v>
      </c>
      <c r="H458" s="7"/>
      <c r="I458" s="7"/>
      <c r="J458" s="38">
        <f t="shared" si="85"/>
        <v>3.5727934802186465</v>
      </c>
      <c r="K458" s="37">
        <f t="shared" si="86"/>
        <v>4.720123132225547</v>
      </c>
      <c r="L458" s="37">
        <f t="shared" si="87"/>
        <v>1.0218173376658086</v>
      </c>
      <c r="M458" s="39">
        <f t="shared" si="88"/>
        <v>1.2911487593995363</v>
      </c>
      <c r="N458" s="117"/>
      <c r="O458" s="38">
        <f t="shared" si="89"/>
        <v>1.7149408705049503</v>
      </c>
      <c r="P458" s="37">
        <f t="shared" si="90"/>
        <v>2.2656591034682623</v>
      </c>
      <c r="Q458" s="37">
        <f t="shared" si="91"/>
        <v>0.49047232207958813</v>
      </c>
      <c r="R458" s="39">
        <f t="shared" si="92"/>
        <v>0.61975140451177735</v>
      </c>
    </row>
    <row r="459" spans="2:18" customFormat="1" x14ac:dyDescent="0.25">
      <c r="B459" s="19" t="s">
        <v>1082</v>
      </c>
      <c r="C459" s="3" t="s">
        <v>928</v>
      </c>
      <c r="D459" s="3">
        <v>2</v>
      </c>
      <c r="E459" s="3">
        <v>24.413107042173891</v>
      </c>
      <c r="F459" s="3">
        <v>960</v>
      </c>
      <c r="G459" s="4">
        <v>3.81</v>
      </c>
      <c r="H459" s="7"/>
      <c r="I459" s="7"/>
      <c r="J459" s="38">
        <f t="shared" si="85"/>
        <v>4.0052467966604901</v>
      </c>
      <c r="K459" s="37">
        <f t="shared" si="86"/>
        <v>5.1471819046893206</v>
      </c>
      <c r="L459" s="37">
        <f t="shared" si="87"/>
        <v>1.2213850416429499</v>
      </c>
      <c r="M459" s="39">
        <f t="shared" si="88"/>
        <v>1.8276350966732058</v>
      </c>
      <c r="N459" s="117"/>
      <c r="O459" s="38">
        <f t="shared" si="89"/>
        <v>2.0026233983302451</v>
      </c>
      <c r="P459" s="37">
        <f t="shared" si="90"/>
        <v>2.5735909523446603</v>
      </c>
      <c r="Q459" s="37">
        <f t="shared" si="91"/>
        <v>0.61069252082147496</v>
      </c>
      <c r="R459" s="39">
        <f t="shared" si="92"/>
        <v>0.91381754833660289</v>
      </c>
    </row>
    <row r="460" spans="2:18" customFormat="1" x14ac:dyDescent="0.25">
      <c r="B460" s="19" t="s">
        <v>1082</v>
      </c>
      <c r="C460" s="3" t="s">
        <v>929</v>
      </c>
      <c r="D460" s="3">
        <v>2.0833333333333335</v>
      </c>
      <c r="E460" s="3">
        <v>24.557505053282451</v>
      </c>
      <c r="F460" s="3">
        <v>880</v>
      </c>
      <c r="G460" s="4">
        <v>4.04</v>
      </c>
      <c r="H460" s="7"/>
      <c r="I460" s="7"/>
      <c r="J460" s="38">
        <f t="shared" si="85"/>
        <v>4.428335444691017</v>
      </c>
      <c r="K460" s="37">
        <f t="shared" si="86"/>
        <v>5.5967174282102921</v>
      </c>
      <c r="L460" s="37">
        <f t="shared" si="87"/>
        <v>1.3171619408713362</v>
      </c>
      <c r="M460" s="39">
        <f t="shared" si="88"/>
        <v>2.1868417338637398</v>
      </c>
      <c r="N460" s="117"/>
      <c r="O460" s="38">
        <f t="shared" si="89"/>
        <v>2.1256010134516878</v>
      </c>
      <c r="P460" s="37">
        <f t="shared" si="90"/>
        <v>2.6864243655409399</v>
      </c>
      <c r="Q460" s="37">
        <f t="shared" si="91"/>
        <v>0.63223773161824137</v>
      </c>
      <c r="R460" s="39">
        <f t="shared" si="92"/>
        <v>1.0496840322545951</v>
      </c>
    </row>
    <row r="461" spans="2:18" customFormat="1" x14ac:dyDescent="0.25">
      <c r="B461" s="19" t="s">
        <v>1082</v>
      </c>
      <c r="C461" s="3" t="s">
        <v>930</v>
      </c>
      <c r="D461" s="3">
        <v>3.3333333333333335</v>
      </c>
      <c r="E461" s="3">
        <v>19.923021428551586</v>
      </c>
      <c r="F461" s="3">
        <v>860</v>
      </c>
      <c r="G461" s="4">
        <v>7.36</v>
      </c>
      <c r="H461" s="7"/>
      <c r="I461" s="7"/>
      <c r="J461" s="38">
        <f t="shared" si="85"/>
        <v>7.3089840554912566</v>
      </c>
      <c r="K461" s="37">
        <f t="shared" si="86"/>
        <v>9.1480479597423852</v>
      </c>
      <c r="L461" s="37">
        <f t="shared" si="87"/>
        <v>3.3936487056305005</v>
      </c>
      <c r="M461" s="39">
        <f t="shared" si="88"/>
        <v>9.0944506042571529</v>
      </c>
      <c r="N461" s="117"/>
      <c r="O461" s="38">
        <f t="shared" si="89"/>
        <v>2.192695216647377</v>
      </c>
      <c r="P461" s="37">
        <f t="shared" si="90"/>
        <v>2.7444143879227156</v>
      </c>
      <c r="Q461" s="37">
        <f t="shared" si="91"/>
        <v>1.0180946116891501</v>
      </c>
      <c r="R461" s="39">
        <f t="shared" si="92"/>
        <v>2.7283351812771457</v>
      </c>
    </row>
    <row r="462" spans="2:18" customFormat="1" x14ac:dyDescent="0.25">
      <c r="B462" s="19" t="s">
        <v>1082</v>
      </c>
      <c r="C462" s="3" t="s">
        <v>931</v>
      </c>
      <c r="D462" s="3">
        <v>3.3333333333333335</v>
      </c>
      <c r="E462" s="3">
        <v>18.601346788328257</v>
      </c>
      <c r="F462" s="3">
        <v>900</v>
      </c>
      <c r="G462" s="4">
        <v>6.74</v>
      </c>
      <c r="H462" s="7"/>
      <c r="I462" s="7"/>
      <c r="J462" s="38">
        <f t="shared" si="85"/>
        <v>6.7842196874296281</v>
      </c>
      <c r="K462" s="37">
        <f t="shared" si="86"/>
        <v>8.5411749992680708</v>
      </c>
      <c r="L462" s="37">
        <f t="shared" si="87"/>
        <v>3.1313610920330786</v>
      </c>
      <c r="M462" s="39">
        <f t="shared" si="88"/>
        <v>7.6372866384808438</v>
      </c>
      <c r="N462" s="117"/>
      <c r="O462" s="38">
        <f t="shared" si="89"/>
        <v>2.0352659062288883</v>
      </c>
      <c r="P462" s="37">
        <f t="shared" si="90"/>
        <v>2.5623524997804212</v>
      </c>
      <c r="Q462" s="37">
        <f t="shared" si="91"/>
        <v>0.93940832760992354</v>
      </c>
      <c r="R462" s="39">
        <f t="shared" si="92"/>
        <v>2.291185991544253</v>
      </c>
    </row>
    <row r="463" spans="2:18" customFormat="1" x14ac:dyDescent="0.25">
      <c r="B463" s="19" t="s">
        <v>1082</v>
      </c>
      <c r="C463" s="3" t="s">
        <v>932</v>
      </c>
      <c r="D463" s="3">
        <v>3.3333333333333335</v>
      </c>
      <c r="E463" s="3">
        <v>16.496457546491115</v>
      </c>
      <c r="F463" s="3">
        <v>980</v>
      </c>
      <c r="G463" s="4">
        <v>6.71</v>
      </c>
      <c r="H463" s="7"/>
      <c r="I463" s="7"/>
      <c r="J463" s="38">
        <f t="shared" si="85"/>
        <v>6.0123058908159779</v>
      </c>
      <c r="K463" s="37">
        <f t="shared" si="86"/>
        <v>7.5746736177719489</v>
      </c>
      <c r="L463" s="37">
        <f t="shared" si="87"/>
        <v>2.8095732414804737</v>
      </c>
      <c r="M463" s="39">
        <f t="shared" si="88"/>
        <v>5.8917379949427033</v>
      </c>
      <c r="N463" s="117"/>
      <c r="O463" s="38">
        <f t="shared" si="89"/>
        <v>1.8036917672447932</v>
      </c>
      <c r="P463" s="37">
        <f t="shared" si="90"/>
        <v>2.2724020853315845</v>
      </c>
      <c r="Q463" s="37">
        <f t="shared" si="91"/>
        <v>0.84287197244414203</v>
      </c>
      <c r="R463" s="39">
        <f t="shared" si="92"/>
        <v>1.7675213984828109</v>
      </c>
    </row>
    <row r="464" spans="2:18" customFormat="1" x14ac:dyDescent="0.25">
      <c r="B464" s="19" t="s">
        <v>1082</v>
      </c>
      <c r="C464" s="3" t="s">
        <v>933</v>
      </c>
      <c r="D464" s="3">
        <v>3.3333333333333335</v>
      </c>
      <c r="E464" s="3">
        <v>18.552395875727399</v>
      </c>
      <c r="F464" s="3">
        <v>960</v>
      </c>
      <c r="G464" s="4">
        <v>7.16</v>
      </c>
      <c r="H464" s="7"/>
      <c r="I464" s="7"/>
      <c r="J464" s="38">
        <f t="shared" si="85"/>
        <v>6.7138590887275384</v>
      </c>
      <c r="K464" s="37">
        <f t="shared" si="86"/>
        <v>8.5186982229542103</v>
      </c>
      <c r="L464" s="37">
        <f t="shared" si="87"/>
        <v>3.3505363394051297</v>
      </c>
      <c r="M464" s="39">
        <f t="shared" si="88"/>
        <v>8.1124754363569327</v>
      </c>
      <c r="N464" s="117"/>
      <c r="O464" s="38">
        <f t="shared" si="89"/>
        <v>2.0141577266182615</v>
      </c>
      <c r="P464" s="37">
        <f t="shared" si="90"/>
        <v>2.555609466886263</v>
      </c>
      <c r="Q464" s="37">
        <f t="shared" si="91"/>
        <v>1.0051609018215388</v>
      </c>
      <c r="R464" s="39">
        <f t="shared" si="92"/>
        <v>2.4337426309070795</v>
      </c>
    </row>
    <row r="465" spans="2:18" customFormat="1" x14ac:dyDescent="0.25">
      <c r="B465" s="19" t="s">
        <v>1082</v>
      </c>
      <c r="C465" s="3" t="s">
        <v>934</v>
      </c>
      <c r="D465" s="3">
        <v>3.3333333333333335</v>
      </c>
      <c r="E465" s="3">
        <v>18.650297700929123</v>
      </c>
      <c r="F465" s="3">
        <v>880</v>
      </c>
      <c r="G465" s="4">
        <v>6.92</v>
      </c>
      <c r="H465" s="7"/>
      <c r="I465" s="7"/>
      <c r="J465" s="38">
        <f t="shared" si="85"/>
        <v>6.8194897450331933</v>
      </c>
      <c r="K465" s="37">
        <f t="shared" si="86"/>
        <v>8.5636517755819348</v>
      </c>
      <c r="L465" s="37">
        <f t="shared" si="87"/>
        <v>3.0712820893254613</v>
      </c>
      <c r="M465" s="39">
        <f t="shared" si="88"/>
        <v>7.5259851723678581</v>
      </c>
      <c r="N465" s="117"/>
      <c r="O465" s="38">
        <f t="shared" si="89"/>
        <v>2.0458469235099579</v>
      </c>
      <c r="P465" s="37">
        <f t="shared" si="90"/>
        <v>2.5690955326745804</v>
      </c>
      <c r="Q465" s="37">
        <f t="shared" si="91"/>
        <v>0.92138462679763833</v>
      </c>
      <c r="R465" s="39">
        <f t="shared" si="92"/>
        <v>2.2577955517103572</v>
      </c>
    </row>
    <row r="466" spans="2:18" customFormat="1" x14ac:dyDescent="0.25">
      <c r="B466" s="19" t="s">
        <v>1082</v>
      </c>
      <c r="C466" s="3" t="s">
        <v>935</v>
      </c>
      <c r="D466" s="3">
        <v>3.3333333333333335</v>
      </c>
      <c r="E466" s="3">
        <v>19.286659564740358</v>
      </c>
      <c r="F466" s="3">
        <v>840</v>
      </c>
      <c r="G466" s="4">
        <v>6.9</v>
      </c>
      <c r="H466" s="7"/>
      <c r="I466" s="7"/>
      <c r="J466" s="38">
        <f t="shared" si="85"/>
        <v>7.0877962548709492</v>
      </c>
      <c r="K466" s="37">
        <f t="shared" si="86"/>
        <v>8.8558498676621618</v>
      </c>
      <c r="L466" s="37">
        <f t="shared" si="87"/>
        <v>3.1136335087451119</v>
      </c>
      <c r="M466" s="39">
        <f t="shared" si="88"/>
        <v>7.9944940652519003</v>
      </c>
      <c r="N466" s="117"/>
      <c r="O466" s="38">
        <f t="shared" si="89"/>
        <v>2.1263388764612845</v>
      </c>
      <c r="P466" s="37">
        <f t="shared" si="90"/>
        <v>2.6567549602986484</v>
      </c>
      <c r="Q466" s="37">
        <f t="shared" si="91"/>
        <v>0.93409005262353351</v>
      </c>
      <c r="R466" s="39">
        <f t="shared" si="92"/>
        <v>2.3983482195755701</v>
      </c>
    </row>
    <row r="467" spans="2:18" customFormat="1" x14ac:dyDescent="0.25">
      <c r="B467" s="19" t="s">
        <v>1082</v>
      </c>
      <c r="C467" s="3" t="s">
        <v>936</v>
      </c>
      <c r="D467" s="3">
        <v>3.3333333333333335</v>
      </c>
      <c r="E467" s="3">
        <v>19.188757739538623</v>
      </c>
      <c r="F467" s="3">
        <v>920</v>
      </c>
      <c r="G467" s="4">
        <v>7.43</v>
      </c>
      <c r="H467" s="7"/>
      <c r="I467" s="7"/>
      <c r="J467" s="38">
        <f t="shared" si="85"/>
        <v>6.9780096581966031</v>
      </c>
      <c r="K467" s="37">
        <f t="shared" si="86"/>
        <v>8.8108963150344319</v>
      </c>
      <c r="L467" s="37">
        <f t="shared" si="87"/>
        <v>3.3967385330375883</v>
      </c>
      <c r="M467" s="39">
        <f t="shared" si="88"/>
        <v>8.617494619651529</v>
      </c>
      <c r="N467" s="117"/>
      <c r="O467" s="38">
        <f t="shared" si="89"/>
        <v>2.0934028974589807</v>
      </c>
      <c r="P467" s="37">
        <f t="shared" si="90"/>
        <v>2.6432688945103293</v>
      </c>
      <c r="Q467" s="37">
        <f t="shared" si="91"/>
        <v>1.0190215599112764</v>
      </c>
      <c r="R467" s="39">
        <f t="shared" si="92"/>
        <v>2.5852483858954587</v>
      </c>
    </row>
    <row r="468" spans="2:18" customFormat="1" x14ac:dyDescent="0.25">
      <c r="B468" s="19" t="s">
        <v>1082</v>
      </c>
      <c r="C468" s="3" t="s">
        <v>937</v>
      </c>
      <c r="D468" s="3">
        <v>3.3333333333333335</v>
      </c>
      <c r="E468" s="3">
        <v>14.538421042456566</v>
      </c>
      <c r="F468" s="3">
        <v>880</v>
      </c>
      <c r="G468" s="4">
        <v>7.05</v>
      </c>
      <c r="H468" s="7"/>
      <c r="I468" s="7"/>
      <c r="J468" s="38">
        <f t="shared" si="85"/>
        <v>5.4975004844685413</v>
      </c>
      <c r="K468" s="37">
        <f t="shared" si="86"/>
        <v>6.6756025652174165</v>
      </c>
      <c r="L468" s="37">
        <f t="shared" si="87"/>
        <v>2.0578040628528673</v>
      </c>
      <c r="M468" s="39">
        <f t="shared" si="88"/>
        <v>3.7923188775602279</v>
      </c>
      <c r="N468" s="117"/>
      <c r="O468" s="38">
        <f t="shared" si="89"/>
        <v>1.6492501453405624</v>
      </c>
      <c r="P468" s="37">
        <f t="shared" si="90"/>
        <v>2.0026807695652247</v>
      </c>
      <c r="Q468" s="37">
        <f t="shared" si="91"/>
        <v>0.61734121885586013</v>
      </c>
      <c r="R468" s="39">
        <f t="shared" si="92"/>
        <v>1.1376956632680684</v>
      </c>
    </row>
    <row r="469" spans="2:18" customFormat="1" x14ac:dyDescent="0.25">
      <c r="B469" s="19" t="s">
        <v>1082</v>
      </c>
      <c r="C469" s="3" t="s">
        <v>938</v>
      </c>
      <c r="D469" s="3">
        <v>3.3333333333333335</v>
      </c>
      <c r="E469" s="3">
        <v>17.842607643014873</v>
      </c>
      <c r="F469" s="3">
        <v>950</v>
      </c>
      <c r="G469" s="4">
        <v>6.81</v>
      </c>
      <c r="H469" s="7"/>
      <c r="I469" s="7"/>
      <c r="J469" s="38">
        <f t="shared" si="85"/>
        <v>6.4771852354356998</v>
      </c>
      <c r="K469" s="37">
        <f t="shared" si="86"/>
        <v>8.1927849664031918</v>
      </c>
      <c r="L469" s="37">
        <f t="shared" si="87"/>
        <v>3.0892370726002967</v>
      </c>
      <c r="M469" s="39">
        <f t="shared" si="88"/>
        <v>7.1254487909054038</v>
      </c>
      <c r="N469" s="117"/>
      <c r="O469" s="38">
        <f t="shared" si="89"/>
        <v>1.9431555706307098</v>
      </c>
      <c r="P469" s="37">
        <f t="shared" si="90"/>
        <v>2.4578354899209574</v>
      </c>
      <c r="Q469" s="37">
        <f t="shared" si="91"/>
        <v>0.92677112178008891</v>
      </c>
      <c r="R469" s="39">
        <f t="shared" si="92"/>
        <v>2.1376346372716211</v>
      </c>
    </row>
    <row r="470" spans="2:18" customFormat="1" x14ac:dyDescent="0.25">
      <c r="B470" s="19" t="s">
        <v>1082</v>
      </c>
      <c r="C470" s="3" t="s">
        <v>939</v>
      </c>
      <c r="D470" s="3">
        <v>3.3333333333333335</v>
      </c>
      <c r="E470" s="3">
        <v>19.849595059650284</v>
      </c>
      <c r="F470" s="3">
        <v>910</v>
      </c>
      <c r="G470" s="4">
        <v>7.05</v>
      </c>
      <c r="H470" s="7"/>
      <c r="I470" s="7"/>
      <c r="J470" s="38">
        <f t="shared" si="85"/>
        <v>7.2333785881940704</v>
      </c>
      <c r="K470" s="37">
        <f t="shared" si="86"/>
        <v>9.1143327952715865</v>
      </c>
      <c r="L470" s="37">
        <f t="shared" si="87"/>
        <v>3.5790759868256825</v>
      </c>
      <c r="M470" s="39">
        <f t="shared" si="88"/>
        <v>9.5117264724308122</v>
      </c>
      <c r="N470" s="117"/>
      <c r="O470" s="38">
        <f t="shared" si="89"/>
        <v>2.1700135764582211</v>
      </c>
      <c r="P470" s="37">
        <f t="shared" si="90"/>
        <v>2.7342998385814758</v>
      </c>
      <c r="Q470" s="37">
        <f t="shared" si="91"/>
        <v>1.0737227960477047</v>
      </c>
      <c r="R470" s="39">
        <f t="shared" si="92"/>
        <v>2.8535179417292436</v>
      </c>
    </row>
    <row r="471" spans="2:18" customFormat="1" x14ac:dyDescent="0.25">
      <c r="B471" s="19" t="s">
        <v>1082</v>
      </c>
      <c r="C471" s="3" t="s">
        <v>940</v>
      </c>
      <c r="D471" s="3">
        <v>3.3333333333333335</v>
      </c>
      <c r="E471" s="3">
        <v>19.384561389942085</v>
      </c>
      <c r="F471" s="3">
        <v>820</v>
      </c>
      <c r="G471" s="4">
        <v>7.19</v>
      </c>
      <c r="H471" s="7"/>
      <c r="I471" s="7"/>
      <c r="J471" s="38">
        <f t="shared" ref="J471:J534" si="93">EXP(2.293225 -4.118555/D471+ 0.052407*E471-0.000131*F471)</f>
        <v>7.1429453747582397</v>
      </c>
      <c r="K471" s="37">
        <f t="shared" ref="K471:K534" si="94">EXP(LN(E471) -3.891677 * (1/D471- 0.1))</f>
        <v>8.900803420289888</v>
      </c>
      <c r="L471" s="37">
        <f t="shared" ref="L471:L534" si="95">EXP(0.613447 -7.899548/D471+ 0.09739*E471+ 0.001207*F471)</f>
        <v>3.0684883118585771</v>
      </c>
      <c r="M471" s="39">
        <f t="shared" ref="M471:M534" si="96">EXP(1.605596 -12.336335/D471+ 0.166684*E471+ 0.001142*F471)</f>
        <v>7.9425289390246254</v>
      </c>
      <c r="N471" s="117"/>
      <c r="O471" s="38">
        <f t="shared" si="89"/>
        <v>2.1428836124274717</v>
      </c>
      <c r="P471" s="37">
        <f t="shared" si="90"/>
        <v>2.6702410260869662</v>
      </c>
      <c r="Q471" s="37">
        <f t="shared" si="91"/>
        <v>0.92054649355757312</v>
      </c>
      <c r="R471" s="39">
        <f t="shared" si="92"/>
        <v>2.3827586817073874</v>
      </c>
    </row>
    <row r="472" spans="2:18" customFormat="1" x14ac:dyDescent="0.25">
      <c r="B472" s="19" t="s">
        <v>1082</v>
      </c>
      <c r="C472" s="3" t="s">
        <v>941</v>
      </c>
      <c r="D472" s="3">
        <v>3.8333333333333335</v>
      </c>
      <c r="E472" s="3">
        <v>20.219489894769133</v>
      </c>
      <c r="F472" s="3">
        <v>1000</v>
      </c>
      <c r="G472" s="4">
        <v>9.2799999999999994</v>
      </c>
      <c r="H472" s="7"/>
      <c r="I472" s="7"/>
      <c r="J472" s="38">
        <f t="shared" si="93"/>
        <v>8.5630989776961286</v>
      </c>
      <c r="K472" s="37">
        <f t="shared" si="94"/>
        <v>10.811329354031264</v>
      </c>
      <c r="L472" s="37">
        <f t="shared" si="95"/>
        <v>5.6342918443836316</v>
      </c>
      <c r="M472" s="39">
        <f t="shared" si="96"/>
        <v>18.168459674207835</v>
      </c>
      <c r="N472" s="117"/>
      <c r="O472" s="38">
        <f t="shared" si="89"/>
        <v>2.2338519072250769</v>
      </c>
      <c r="P472" s="37">
        <f t="shared" si="90"/>
        <v>2.8203467880081554</v>
      </c>
      <c r="Q472" s="37">
        <f t="shared" si="91"/>
        <v>1.4698152637522517</v>
      </c>
      <c r="R472" s="39">
        <f t="shared" si="92"/>
        <v>4.739598175880305</v>
      </c>
    </row>
    <row r="473" spans="2:18" customFormat="1" x14ac:dyDescent="0.25">
      <c r="B473" s="19" t="s">
        <v>1082</v>
      </c>
      <c r="C473" s="3" t="s">
        <v>942</v>
      </c>
      <c r="D473" s="3">
        <v>3.8333333333333335</v>
      </c>
      <c r="E473" s="3">
        <v>14.775781076946675</v>
      </c>
      <c r="F473" s="3">
        <v>930</v>
      </c>
      <c r="G473" s="4">
        <v>6.14</v>
      </c>
      <c r="H473" s="7"/>
      <c r="I473" s="7"/>
      <c r="J473" s="38">
        <f t="shared" si="93"/>
        <v>6.4970206268853046</v>
      </c>
      <c r="K473" s="37">
        <f t="shared" si="94"/>
        <v>7.9005868356382321</v>
      </c>
      <c r="L473" s="37">
        <f t="shared" si="95"/>
        <v>3.0471863812637783</v>
      </c>
      <c r="M473" s="39">
        <f t="shared" si="96"/>
        <v>6.7690986905545536</v>
      </c>
      <c r="N473" s="117"/>
      <c r="O473" s="38">
        <f t="shared" si="89"/>
        <v>1.6948749461439925</v>
      </c>
      <c r="P473" s="37">
        <f t="shared" si="90"/>
        <v>2.0610226527751907</v>
      </c>
      <c r="Q473" s="37">
        <f t="shared" si="91"/>
        <v>0.79491818641663781</v>
      </c>
      <c r="R473" s="39">
        <f t="shared" si="92"/>
        <v>1.7658518323185792</v>
      </c>
    </row>
    <row r="474" spans="2:18" customFormat="1" x14ac:dyDescent="0.25">
      <c r="B474" s="19" t="s">
        <v>1082</v>
      </c>
      <c r="C474" s="3" t="s">
        <v>943</v>
      </c>
      <c r="D474" s="3">
        <v>3.8333333333333335</v>
      </c>
      <c r="E474" s="3">
        <v>19.294689941162233</v>
      </c>
      <c r="F474" s="3">
        <v>810</v>
      </c>
      <c r="G474" s="4">
        <v>9.06</v>
      </c>
      <c r="H474" s="7"/>
      <c r="I474" s="7"/>
      <c r="J474" s="38">
        <f t="shared" si="93"/>
        <v>8.3635766418146265</v>
      </c>
      <c r="K474" s="37">
        <f t="shared" si="94"/>
        <v>10.316840277547508</v>
      </c>
      <c r="L474" s="37">
        <f t="shared" si="95"/>
        <v>4.0938064155160117</v>
      </c>
      <c r="M474" s="39">
        <f t="shared" si="96"/>
        <v>12.535413896442469</v>
      </c>
      <c r="N474" s="117"/>
      <c r="O474" s="38">
        <f t="shared" si="89"/>
        <v>2.1818026022125112</v>
      </c>
      <c r="P474" s="37">
        <f t="shared" si="90"/>
        <v>2.691349637621089</v>
      </c>
      <c r="Q474" s="37">
        <f t="shared" si="91"/>
        <v>1.0679494996998291</v>
      </c>
      <c r="R474" s="39">
        <f t="shared" si="92"/>
        <v>3.2701079729849916</v>
      </c>
    </row>
    <row r="475" spans="2:18" customFormat="1" x14ac:dyDescent="0.25">
      <c r="B475" s="19" t="s">
        <v>1082</v>
      </c>
      <c r="C475" s="3" t="s">
        <v>944</v>
      </c>
      <c r="D475" s="3">
        <v>3.8333333333333335</v>
      </c>
      <c r="E475" s="3">
        <v>17.823417287696699</v>
      </c>
      <c r="F475" s="3">
        <v>1000</v>
      </c>
      <c r="G475" s="4">
        <v>8.0399999999999991</v>
      </c>
      <c r="H475" s="7"/>
      <c r="I475" s="7"/>
      <c r="J475" s="38">
        <f t="shared" si="93"/>
        <v>7.5525947341975739</v>
      </c>
      <c r="K475" s="37">
        <f t="shared" si="94"/>
        <v>9.5301531104142541</v>
      </c>
      <c r="L475" s="37">
        <f t="shared" si="95"/>
        <v>4.4616468978269017</v>
      </c>
      <c r="M475" s="39">
        <f t="shared" si="96"/>
        <v>12.186150955376135</v>
      </c>
      <c r="N475" s="117"/>
      <c r="O475" s="38">
        <f t="shared" si="89"/>
        <v>1.9702421045732801</v>
      </c>
      <c r="P475" s="37">
        <f t="shared" si="90"/>
        <v>2.4861268983689357</v>
      </c>
      <c r="Q475" s="37">
        <f t="shared" si="91"/>
        <v>1.1639078863896264</v>
      </c>
      <c r="R475" s="39">
        <f t="shared" si="92"/>
        <v>3.17899590140247</v>
      </c>
    </row>
    <row r="476" spans="2:18" customFormat="1" x14ac:dyDescent="0.25">
      <c r="B476" s="19" t="s">
        <v>1082</v>
      </c>
      <c r="C476" s="3" t="s">
        <v>945</v>
      </c>
      <c r="D476" s="3">
        <v>3.8333333333333335</v>
      </c>
      <c r="E476" s="3">
        <v>18.97941722970533</v>
      </c>
      <c r="F476" s="3">
        <v>990</v>
      </c>
      <c r="G476" s="4">
        <v>8.27</v>
      </c>
      <c r="H476" s="7"/>
      <c r="I476" s="7"/>
      <c r="J476" s="38">
        <f t="shared" si="93"/>
        <v>8.0348125246961626</v>
      </c>
      <c r="K476" s="37">
        <f t="shared" si="94"/>
        <v>10.148264456018952</v>
      </c>
      <c r="L476" s="37">
        <f t="shared" si="95"/>
        <v>4.9334117726008859</v>
      </c>
      <c r="M476" s="39">
        <f t="shared" si="96"/>
        <v>14.607963623751543</v>
      </c>
      <c r="N476" s="117"/>
      <c r="O476" s="38">
        <f t="shared" si="89"/>
        <v>2.0960380499207378</v>
      </c>
      <c r="P476" s="37">
        <f t="shared" si="90"/>
        <v>2.6473733363527701</v>
      </c>
      <c r="Q476" s="37">
        <f t="shared" si="91"/>
        <v>1.2869769841567529</v>
      </c>
      <c r="R476" s="39">
        <f t="shared" si="92"/>
        <v>3.8107731192395327</v>
      </c>
    </row>
    <row r="477" spans="2:18" customFormat="1" x14ac:dyDescent="0.25">
      <c r="B477" s="19" t="s">
        <v>1082</v>
      </c>
      <c r="C477" s="3" t="s">
        <v>946</v>
      </c>
      <c r="D477" s="3">
        <v>3.8333333333333335</v>
      </c>
      <c r="E477" s="3">
        <v>15.511417403679438</v>
      </c>
      <c r="F477" s="3">
        <v>960</v>
      </c>
      <c r="G477" s="4">
        <v>7.32</v>
      </c>
      <c r="H477" s="7"/>
      <c r="I477" s="7"/>
      <c r="J477" s="38">
        <f t="shared" si="93"/>
        <v>6.7259030547082874</v>
      </c>
      <c r="K477" s="37">
        <f t="shared" si="94"/>
        <v>8.2939304192048571</v>
      </c>
      <c r="L477" s="37">
        <f t="shared" si="95"/>
        <v>3.394214242688423</v>
      </c>
      <c r="M477" s="39">
        <f t="shared" si="96"/>
        <v>7.9188559979413347</v>
      </c>
      <c r="N477" s="117"/>
      <c r="O477" s="38">
        <f t="shared" si="89"/>
        <v>1.754583405576075</v>
      </c>
      <c r="P477" s="37">
        <f t="shared" si="90"/>
        <v>2.1636340224012671</v>
      </c>
      <c r="Q477" s="37">
        <f t="shared" si="91"/>
        <v>0.88544719374480596</v>
      </c>
      <c r="R477" s="39">
        <f t="shared" si="92"/>
        <v>2.0657885212020872</v>
      </c>
    </row>
    <row r="478" spans="2:18" customFormat="1" x14ac:dyDescent="0.25">
      <c r="B478" s="19" t="s">
        <v>1082</v>
      </c>
      <c r="C478" s="3" t="s">
        <v>947</v>
      </c>
      <c r="D478" s="3">
        <v>3.8333333333333335</v>
      </c>
      <c r="E478" s="3">
        <v>20.723926233100169</v>
      </c>
      <c r="F478" s="3">
        <v>930</v>
      </c>
      <c r="G478" s="4">
        <v>9.66</v>
      </c>
      <c r="H478" s="7"/>
      <c r="I478" s="7"/>
      <c r="J478" s="38">
        <f t="shared" si="93"/>
        <v>8.8734897327602482</v>
      </c>
      <c r="K478" s="37">
        <f t="shared" si="94"/>
        <v>11.081050668476948</v>
      </c>
      <c r="L478" s="37">
        <f t="shared" si="95"/>
        <v>5.4385284766911184</v>
      </c>
      <c r="M478" s="39">
        <f t="shared" si="96"/>
        <v>18.243859769173692</v>
      </c>
      <c r="N478" s="117"/>
      <c r="O478" s="38">
        <f t="shared" si="89"/>
        <v>2.3148234085461517</v>
      </c>
      <c r="P478" s="37">
        <f t="shared" si="90"/>
        <v>2.8907088700374644</v>
      </c>
      <c r="Q478" s="37">
        <f t="shared" si="91"/>
        <v>1.4187465591368134</v>
      </c>
      <c r="R478" s="39">
        <f t="shared" si="92"/>
        <v>4.7592677658713978</v>
      </c>
    </row>
    <row r="479" spans="2:18" customFormat="1" x14ac:dyDescent="0.25">
      <c r="B479" s="19" t="s">
        <v>1082</v>
      </c>
      <c r="C479" s="3" t="s">
        <v>948</v>
      </c>
      <c r="D479" s="3">
        <v>3.8333333333333335</v>
      </c>
      <c r="E479" s="3">
        <v>19.862180821784651</v>
      </c>
      <c r="F479" s="3">
        <v>970</v>
      </c>
      <c r="G479" s="4">
        <v>9.57</v>
      </c>
      <c r="H479" s="7"/>
      <c r="I479" s="7"/>
      <c r="J479" s="38">
        <f t="shared" si="93"/>
        <v>8.4373363305802798</v>
      </c>
      <c r="K479" s="37">
        <f t="shared" si="94"/>
        <v>10.620276756298907</v>
      </c>
      <c r="L479" s="37">
        <f t="shared" si="95"/>
        <v>5.2480844222001961</v>
      </c>
      <c r="M479" s="39">
        <f t="shared" si="96"/>
        <v>16.541450798217276</v>
      </c>
      <c r="N479" s="117"/>
      <c r="O479" s="38">
        <f t="shared" si="89"/>
        <v>2.2010442601513773</v>
      </c>
      <c r="P479" s="37">
        <f t="shared" si="90"/>
        <v>2.7705069799040625</v>
      </c>
      <c r="Q479" s="37">
        <f t="shared" si="91"/>
        <v>1.3690655014435293</v>
      </c>
      <c r="R479" s="39">
        <f t="shared" si="92"/>
        <v>4.3151610777958114</v>
      </c>
    </row>
    <row r="480" spans="2:18" customFormat="1" x14ac:dyDescent="0.25">
      <c r="B480" s="19" t="s">
        <v>1082</v>
      </c>
      <c r="C480" s="3" t="s">
        <v>949</v>
      </c>
      <c r="D480" s="3">
        <v>3.6666666666666665</v>
      </c>
      <c r="E480" s="3">
        <v>19.721695356415079</v>
      </c>
      <c r="F480" s="3">
        <v>910</v>
      </c>
      <c r="G480" s="4">
        <v>8.68</v>
      </c>
      <c r="H480" s="7"/>
      <c r="I480" s="7"/>
      <c r="J480" s="38">
        <f t="shared" si="93"/>
        <v>8.0391842436960292</v>
      </c>
      <c r="K480" s="37">
        <f t="shared" si="94"/>
        <v>10.069595754246585</v>
      </c>
      <c r="L480" s="37">
        <f t="shared" si="95"/>
        <v>4.3845663586197778</v>
      </c>
      <c r="M480" s="39">
        <f t="shared" si="96"/>
        <v>13.035182770272396</v>
      </c>
      <c r="N480" s="117"/>
      <c r="O480" s="38">
        <f t="shared" si="89"/>
        <v>2.1925047937352806</v>
      </c>
      <c r="P480" s="37">
        <f t="shared" si="90"/>
        <v>2.7462533875217958</v>
      </c>
      <c r="Q480" s="37">
        <f t="shared" si="91"/>
        <v>1.1957908250781213</v>
      </c>
      <c r="R480" s="39">
        <f t="shared" si="92"/>
        <v>3.5550498464379263</v>
      </c>
    </row>
    <row r="481" spans="2:18" customFormat="1" x14ac:dyDescent="0.25">
      <c r="B481" s="19" t="s">
        <v>1082</v>
      </c>
      <c r="C481" s="3" t="s">
        <v>950</v>
      </c>
      <c r="D481" s="3">
        <v>3.6666666666666665</v>
      </c>
      <c r="E481" s="3">
        <v>17.234472616152914</v>
      </c>
      <c r="F481" s="3">
        <v>870</v>
      </c>
      <c r="G481" s="4">
        <v>7.43</v>
      </c>
      <c r="H481" s="7"/>
      <c r="I481" s="7"/>
      <c r="J481" s="38">
        <f t="shared" si="93"/>
        <v>7.0937898597923406</v>
      </c>
      <c r="K481" s="37">
        <f t="shared" si="94"/>
        <v>8.7996578968471812</v>
      </c>
      <c r="L481" s="37">
        <f t="shared" si="95"/>
        <v>3.2791364368031521</v>
      </c>
      <c r="M481" s="39">
        <f t="shared" si="96"/>
        <v>8.2267565285326949</v>
      </c>
      <c r="N481" s="117"/>
      <c r="O481" s="38">
        <f t="shared" si="89"/>
        <v>1.9346699617615475</v>
      </c>
      <c r="P481" s="37">
        <f t="shared" si="90"/>
        <v>2.3999066991401405</v>
      </c>
      <c r="Q481" s="37">
        <f t="shared" si="91"/>
        <v>0.89430993730995068</v>
      </c>
      <c r="R481" s="39">
        <f t="shared" si="92"/>
        <v>2.2436608714180077</v>
      </c>
    </row>
    <row r="482" spans="2:18" customFormat="1" x14ac:dyDescent="0.25">
      <c r="B482" s="19" t="s">
        <v>1082</v>
      </c>
      <c r="C482" s="3" t="s">
        <v>951</v>
      </c>
      <c r="D482" s="3">
        <v>3.6666666666666665</v>
      </c>
      <c r="E482" s="3">
        <v>19.061370735106539</v>
      </c>
      <c r="F482" s="3">
        <v>960</v>
      </c>
      <c r="G482" s="4">
        <v>8.9600000000000009</v>
      </c>
      <c r="H482" s="7"/>
      <c r="I482" s="7"/>
      <c r="J482" s="38">
        <f t="shared" si="93"/>
        <v>7.7150424138871232</v>
      </c>
      <c r="K482" s="37">
        <f t="shared" si="94"/>
        <v>9.7324441106892206</v>
      </c>
      <c r="L482" s="37">
        <f t="shared" si="95"/>
        <v>4.3672421113152344</v>
      </c>
      <c r="M482" s="39">
        <f t="shared" si="96"/>
        <v>12.36273269734486</v>
      </c>
      <c r="N482" s="117"/>
      <c r="O482" s="38">
        <f t="shared" si="89"/>
        <v>2.1041024765146701</v>
      </c>
      <c r="P482" s="37">
        <f t="shared" si="90"/>
        <v>2.6543029392788786</v>
      </c>
      <c r="Q482" s="37">
        <f t="shared" si="91"/>
        <v>1.1910660303587004</v>
      </c>
      <c r="R482" s="39">
        <f t="shared" si="92"/>
        <v>3.3716543720031438</v>
      </c>
    </row>
    <row r="483" spans="2:18" customFormat="1" x14ac:dyDescent="0.25">
      <c r="B483" s="19" t="s">
        <v>1082</v>
      </c>
      <c r="C483" s="3" t="s">
        <v>952</v>
      </c>
      <c r="D483" s="3">
        <v>3.6666666666666665</v>
      </c>
      <c r="E483" s="3">
        <v>28.173850509164399</v>
      </c>
      <c r="F483" s="3">
        <v>960</v>
      </c>
      <c r="G483" s="4">
        <v>10.46</v>
      </c>
      <c r="H483" s="7"/>
      <c r="I483" s="7"/>
      <c r="J483" s="38">
        <f t="shared" si="93"/>
        <v>12.437669255897722</v>
      </c>
      <c r="K483" s="37">
        <f t="shared" si="94"/>
        <v>14.385136791780836</v>
      </c>
      <c r="L483" s="37">
        <f t="shared" si="95"/>
        <v>10.607869372044718</v>
      </c>
      <c r="M483" s="39">
        <f t="shared" si="96"/>
        <v>56.463312912772786</v>
      </c>
      <c r="N483" s="117"/>
      <c r="O483" s="38">
        <f t="shared" si="89"/>
        <v>3.3920916152448335</v>
      </c>
      <c r="P483" s="37">
        <f t="shared" si="90"/>
        <v>3.923219125031137</v>
      </c>
      <c r="Q483" s="37">
        <f t="shared" si="91"/>
        <v>2.893055283284923</v>
      </c>
      <c r="R483" s="39">
        <f t="shared" si="92"/>
        <v>15.399085339847124</v>
      </c>
    </row>
    <row r="484" spans="2:18" customFormat="1" x14ac:dyDescent="0.25">
      <c r="B484" s="19" t="s">
        <v>1082</v>
      </c>
      <c r="C484" s="3" t="s">
        <v>953</v>
      </c>
      <c r="D484" s="3">
        <v>3.6666666666666665</v>
      </c>
      <c r="E484" s="3">
        <v>28.636077744080382</v>
      </c>
      <c r="F484" s="3">
        <v>970</v>
      </c>
      <c r="G484" s="4">
        <v>10.91</v>
      </c>
      <c r="H484" s="7"/>
      <c r="I484" s="7"/>
      <c r="J484" s="38">
        <f t="shared" si="93"/>
        <v>12.725955571017337</v>
      </c>
      <c r="K484" s="37">
        <f t="shared" si="94"/>
        <v>14.621142942270986</v>
      </c>
      <c r="L484" s="37">
        <f t="shared" si="95"/>
        <v>11.2310518614737</v>
      </c>
      <c r="M484" s="39">
        <f t="shared" si="96"/>
        <v>61.685998883832376</v>
      </c>
      <c r="N484" s="117"/>
      <c r="O484" s="38">
        <f t="shared" si="89"/>
        <v>3.4707151557320013</v>
      </c>
      <c r="P484" s="37">
        <f t="shared" si="90"/>
        <v>3.9875844388011781</v>
      </c>
      <c r="Q484" s="37">
        <f t="shared" si="91"/>
        <v>3.0630141440382821</v>
      </c>
      <c r="R484" s="39">
        <f t="shared" si="92"/>
        <v>16.823454241045194</v>
      </c>
    </row>
    <row r="485" spans="2:18" customFormat="1" x14ac:dyDescent="0.25">
      <c r="B485" s="19" t="s">
        <v>1082</v>
      </c>
      <c r="C485" s="3" t="s">
        <v>954</v>
      </c>
      <c r="D485" s="3">
        <v>2</v>
      </c>
      <c r="E485" s="3">
        <v>29.050531305643602</v>
      </c>
      <c r="F485" s="3">
        <v>1100</v>
      </c>
      <c r="G485" s="4">
        <v>4.72</v>
      </c>
      <c r="H485" s="7"/>
      <c r="I485" s="7"/>
      <c r="J485" s="38">
        <f t="shared" si="93"/>
        <v>5.014324388208335</v>
      </c>
      <c r="K485" s="37">
        <f t="shared" si="94"/>
        <v>6.1249216988115274</v>
      </c>
      <c r="L485" s="37">
        <f t="shared" si="95"/>
        <v>2.2718721876860344</v>
      </c>
      <c r="M485" s="39">
        <f t="shared" si="96"/>
        <v>4.6454454205765039</v>
      </c>
      <c r="N485" s="117"/>
      <c r="O485" s="38">
        <f t="shared" si="89"/>
        <v>2.5071621941041675</v>
      </c>
      <c r="P485" s="37">
        <f t="shared" si="90"/>
        <v>3.0624608494057637</v>
      </c>
      <c r="Q485" s="37">
        <f t="shared" si="91"/>
        <v>1.1359360938430172</v>
      </c>
      <c r="R485" s="39">
        <f t="shared" si="92"/>
        <v>2.3227227102882519</v>
      </c>
    </row>
    <row r="486" spans="2:18" customFormat="1" x14ac:dyDescent="0.25">
      <c r="B486" s="19" t="s">
        <v>1082</v>
      </c>
      <c r="C486" s="3" t="s">
        <v>955</v>
      </c>
      <c r="D486" s="3">
        <v>2.75</v>
      </c>
      <c r="E486" s="3">
        <v>20.724603582469527</v>
      </c>
      <c r="F486" s="3">
        <v>950</v>
      </c>
      <c r="G486" s="4">
        <v>5.92</v>
      </c>
      <c r="H486" s="7"/>
      <c r="I486" s="7"/>
      <c r="J486" s="38">
        <f t="shared" si="93"/>
        <v>5.7963762413034718</v>
      </c>
      <c r="K486" s="37">
        <f t="shared" si="94"/>
        <v>7.4285746308847953</v>
      </c>
      <c r="L486" s="37">
        <f t="shared" si="95"/>
        <v>2.4741656641793925</v>
      </c>
      <c r="M486" s="39">
        <f t="shared" si="96"/>
        <v>5.2541373007773533</v>
      </c>
      <c r="N486" s="117"/>
      <c r="O486" s="38">
        <f t="shared" si="89"/>
        <v>2.1077731786558078</v>
      </c>
      <c r="P486" s="37">
        <f t="shared" si="90"/>
        <v>2.701299865776289</v>
      </c>
      <c r="Q486" s="37">
        <f t="shared" si="91"/>
        <v>0.89969660515614269</v>
      </c>
      <c r="R486" s="39">
        <f t="shared" si="92"/>
        <v>1.9105953821008557</v>
      </c>
    </row>
    <row r="487" spans="2:18" customFormat="1" x14ac:dyDescent="0.25">
      <c r="B487" s="19" t="s">
        <v>1082</v>
      </c>
      <c r="C487" s="3" t="s">
        <v>956</v>
      </c>
      <c r="D487" s="3">
        <v>2.75</v>
      </c>
      <c r="E487" s="3">
        <v>21.477085406946479</v>
      </c>
      <c r="F487" s="3">
        <v>970</v>
      </c>
      <c r="G487" s="4">
        <v>6.82</v>
      </c>
      <c r="H487" s="7"/>
      <c r="I487" s="7"/>
      <c r="J487" s="38">
        <f t="shared" si="93"/>
        <v>6.0137484199111757</v>
      </c>
      <c r="K487" s="37">
        <f t="shared" si="94"/>
        <v>7.6982959487989167</v>
      </c>
      <c r="L487" s="37">
        <f t="shared" si="95"/>
        <v>2.7273418094962545</v>
      </c>
      <c r="M487" s="39">
        <f t="shared" si="96"/>
        <v>6.0938648573465519</v>
      </c>
      <c r="N487" s="117"/>
      <c r="O487" s="38">
        <f t="shared" si="89"/>
        <v>2.1868176072404277</v>
      </c>
      <c r="P487" s="37">
        <f t="shared" si="90"/>
        <v>2.7993803450177879</v>
      </c>
      <c r="Q487" s="37">
        <f t="shared" si="91"/>
        <v>0.991760657998638</v>
      </c>
      <c r="R487" s="39">
        <f t="shared" si="92"/>
        <v>2.215950857216928</v>
      </c>
    </row>
    <row r="488" spans="2:18" customFormat="1" x14ac:dyDescent="0.25">
      <c r="B488" s="19" t="s">
        <v>1082</v>
      </c>
      <c r="C488" s="3" t="s">
        <v>957</v>
      </c>
      <c r="D488" s="3">
        <v>2.75</v>
      </c>
      <c r="E488" s="3">
        <v>24.267538839381871</v>
      </c>
      <c r="F488" s="3">
        <v>960</v>
      </c>
      <c r="G488" s="4">
        <v>7.64</v>
      </c>
      <c r="H488" s="7"/>
      <c r="I488" s="7"/>
      <c r="J488" s="38">
        <f t="shared" si="93"/>
        <v>6.9698767683298284</v>
      </c>
      <c r="K488" s="37">
        <f t="shared" si="94"/>
        <v>8.6985125027304573</v>
      </c>
      <c r="L488" s="37">
        <f t="shared" si="95"/>
        <v>3.5360832868679228</v>
      </c>
      <c r="M488" s="39">
        <f t="shared" si="96"/>
        <v>9.5925470106992101</v>
      </c>
      <c r="N488" s="117"/>
      <c r="O488" s="38">
        <f t="shared" si="89"/>
        <v>2.5345006430290287</v>
      </c>
      <c r="P488" s="37">
        <f t="shared" si="90"/>
        <v>3.1630954555383481</v>
      </c>
      <c r="Q488" s="37">
        <f t="shared" si="91"/>
        <v>1.2858484679519719</v>
      </c>
      <c r="R488" s="39">
        <f t="shared" si="92"/>
        <v>3.488198912981531</v>
      </c>
    </row>
    <row r="489" spans="2:18" customFormat="1" x14ac:dyDescent="0.25">
      <c r="B489" s="19" t="s">
        <v>1082</v>
      </c>
      <c r="C489" s="3" t="s">
        <v>958</v>
      </c>
      <c r="D489" s="3">
        <v>2.75</v>
      </c>
      <c r="E489" s="3">
        <v>29.566265020073775</v>
      </c>
      <c r="F489" s="3">
        <v>910</v>
      </c>
      <c r="G489" s="4">
        <v>7.32</v>
      </c>
      <c r="H489" s="7"/>
      <c r="I489" s="7"/>
      <c r="J489" s="38">
        <f t="shared" si="93"/>
        <v>9.2612394284921038</v>
      </c>
      <c r="K489" s="37">
        <f t="shared" si="94"/>
        <v>10.597800116375739</v>
      </c>
      <c r="L489" s="37">
        <f t="shared" si="95"/>
        <v>5.5773437981061429</v>
      </c>
      <c r="M489" s="39">
        <f t="shared" si="96"/>
        <v>21.913421842298419</v>
      </c>
      <c r="N489" s="117"/>
      <c r="O489" s="38">
        <f t="shared" si="89"/>
        <v>3.367723428542583</v>
      </c>
      <c r="P489" s="37">
        <f t="shared" si="90"/>
        <v>3.8537454968639051</v>
      </c>
      <c r="Q489" s="37">
        <f t="shared" si="91"/>
        <v>2.0281250174931427</v>
      </c>
      <c r="R489" s="39">
        <f t="shared" si="92"/>
        <v>7.9685170335630611</v>
      </c>
    </row>
    <row r="490" spans="2:18" customFormat="1" x14ac:dyDescent="0.25">
      <c r="B490" s="19" t="s">
        <v>1082</v>
      </c>
      <c r="C490" s="3" t="s">
        <v>959</v>
      </c>
      <c r="D490" s="3">
        <v>2.8333333333333335</v>
      </c>
      <c r="E490" s="3">
        <v>17.714290768917405</v>
      </c>
      <c r="F490" s="3">
        <v>930</v>
      </c>
      <c r="G490" s="4">
        <v>5.85</v>
      </c>
      <c r="H490" s="7"/>
      <c r="I490" s="7"/>
      <c r="J490" s="38">
        <f t="shared" si="93"/>
        <v>5.1869206078594656</v>
      </c>
      <c r="K490" s="37">
        <f t="shared" si="94"/>
        <v>6.6194106682836562</v>
      </c>
      <c r="L490" s="37">
        <f t="shared" si="95"/>
        <v>1.9602578354291225</v>
      </c>
      <c r="M490" s="39">
        <f t="shared" si="96"/>
        <v>3.5478587563765815</v>
      </c>
      <c r="N490" s="117"/>
      <c r="O490" s="38">
        <f t="shared" si="89"/>
        <v>1.8306778615974584</v>
      </c>
      <c r="P490" s="37">
        <f t="shared" si="90"/>
        <v>2.336262588805996</v>
      </c>
      <c r="Q490" s="37">
        <f t="shared" si="91"/>
        <v>0.69185570662204321</v>
      </c>
      <c r="R490" s="39">
        <f t="shared" si="92"/>
        <v>1.2521854434270288</v>
      </c>
    </row>
    <row r="491" spans="2:18" customFormat="1" x14ac:dyDescent="0.25">
      <c r="B491" s="19" t="s">
        <v>1082</v>
      </c>
      <c r="C491" s="3" t="s">
        <v>960</v>
      </c>
      <c r="D491" s="3">
        <v>2.8333333333333335</v>
      </c>
      <c r="E491" s="3">
        <v>19.969930510290595</v>
      </c>
      <c r="F491" s="3">
        <v>950</v>
      </c>
      <c r="G491" s="4">
        <v>5.7</v>
      </c>
      <c r="H491" s="7"/>
      <c r="I491" s="7"/>
      <c r="J491" s="38">
        <f t="shared" si="93"/>
        <v>5.8225103548457824</v>
      </c>
      <c r="K491" s="37">
        <f t="shared" si="94"/>
        <v>7.4622897856372647</v>
      </c>
      <c r="L491" s="37">
        <f t="shared" si="95"/>
        <v>2.5015055426927488</v>
      </c>
      <c r="M491" s="39">
        <f t="shared" si="96"/>
        <v>5.2865365179546409</v>
      </c>
      <c r="N491" s="117"/>
      <c r="O491" s="38">
        <f t="shared" si="89"/>
        <v>2.0550036546514523</v>
      </c>
      <c r="P491" s="37">
        <f t="shared" si="90"/>
        <v>2.6337493361072699</v>
      </c>
      <c r="Q491" s="37">
        <f t="shared" si="91"/>
        <v>0.88288430918567606</v>
      </c>
      <c r="R491" s="39">
        <f t="shared" si="92"/>
        <v>1.8658364181016378</v>
      </c>
    </row>
    <row r="492" spans="2:18" customFormat="1" x14ac:dyDescent="0.25">
      <c r="B492" s="19" t="s">
        <v>1082</v>
      </c>
      <c r="C492" s="3" t="s">
        <v>961</v>
      </c>
      <c r="D492" s="3">
        <v>2.8333333333333335</v>
      </c>
      <c r="E492" s="3">
        <v>18.135343520640408</v>
      </c>
      <c r="F492" s="3">
        <v>870</v>
      </c>
      <c r="G492" s="4">
        <v>6.38</v>
      </c>
      <c r="H492" s="7"/>
      <c r="I492" s="7"/>
      <c r="J492" s="38">
        <f t="shared" si="93"/>
        <v>5.3444909469351485</v>
      </c>
      <c r="K492" s="37">
        <f t="shared" si="94"/>
        <v>6.7767481035229995</v>
      </c>
      <c r="L492" s="37">
        <f t="shared" si="95"/>
        <v>1.8996360985870291</v>
      </c>
      <c r="M492" s="39">
        <f t="shared" si="96"/>
        <v>3.5537628901002964</v>
      </c>
      <c r="N492" s="117"/>
      <c r="O492" s="38">
        <f t="shared" si="89"/>
        <v>1.8862909224476994</v>
      </c>
      <c r="P492" s="37">
        <f t="shared" si="90"/>
        <v>2.3917934483022352</v>
      </c>
      <c r="Q492" s="37">
        <f t="shared" si="91"/>
        <v>0.6704597995013043</v>
      </c>
      <c r="R492" s="39">
        <f t="shared" si="92"/>
        <v>1.2542692553295163</v>
      </c>
    </row>
    <row r="493" spans="2:18" customFormat="1" x14ac:dyDescent="0.25">
      <c r="B493" s="19" t="s">
        <v>1082</v>
      </c>
      <c r="C493" s="3" t="s">
        <v>962</v>
      </c>
      <c r="D493" s="3">
        <v>2.8333333333333335</v>
      </c>
      <c r="E493" s="3">
        <v>16.571433299955</v>
      </c>
      <c r="F493" s="3">
        <v>900</v>
      </c>
      <c r="G493" s="4">
        <v>4.5599999999999996</v>
      </c>
      <c r="H493" s="7"/>
      <c r="I493" s="7"/>
      <c r="J493" s="38">
        <f t="shared" si="93"/>
        <v>4.9046143098744697</v>
      </c>
      <c r="K493" s="37">
        <f t="shared" si="94"/>
        <v>6.192351915491165</v>
      </c>
      <c r="L493" s="37">
        <f t="shared" si="95"/>
        <v>1.691411055044711</v>
      </c>
      <c r="M493" s="39">
        <f t="shared" si="96"/>
        <v>2.8337139466967507</v>
      </c>
      <c r="N493" s="117"/>
      <c r="O493" s="38">
        <f t="shared" si="89"/>
        <v>1.7310403446615774</v>
      </c>
      <c r="P493" s="37">
        <f t="shared" si="90"/>
        <v>2.1855359701733521</v>
      </c>
      <c r="Q493" s="37">
        <f t="shared" si="91"/>
        <v>0.5969686076628391</v>
      </c>
      <c r="R493" s="39">
        <f t="shared" si="92"/>
        <v>1.0001343341282649</v>
      </c>
    </row>
    <row r="494" spans="2:18" customFormat="1" x14ac:dyDescent="0.25">
      <c r="B494" s="19" t="s">
        <v>1082</v>
      </c>
      <c r="C494" s="3" t="s">
        <v>963</v>
      </c>
      <c r="D494" s="3">
        <v>2.6666666666666665</v>
      </c>
      <c r="E494" s="3">
        <v>19.826507306189686</v>
      </c>
      <c r="F494" s="3">
        <v>850</v>
      </c>
      <c r="G494" s="4">
        <v>5.33</v>
      </c>
      <c r="H494" s="7"/>
      <c r="I494" s="7"/>
      <c r="J494" s="38">
        <f t="shared" si="93"/>
        <v>5.3466203092638329</v>
      </c>
      <c r="K494" s="37">
        <f t="shared" si="94"/>
        <v>6.7992248987533017</v>
      </c>
      <c r="L494" s="37">
        <f t="shared" si="95"/>
        <v>1.8366991980922915</v>
      </c>
      <c r="M494" s="39">
        <f t="shared" si="96"/>
        <v>3.507599564713384</v>
      </c>
      <c r="N494" s="117"/>
      <c r="O494" s="38">
        <f t="shared" si="89"/>
        <v>2.0049826159739377</v>
      </c>
      <c r="P494" s="37">
        <f t="shared" si="90"/>
        <v>2.5497093370324881</v>
      </c>
      <c r="Q494" s="37">
        <f t="shared" si="91"/>
        <v>0.68876219928460936</v>
      </c>
      <c r="R494" s="39">
        <f t="shared" si="92"/>
        <v>1.3153498367675192</v>
      </c>
    </row>
    <row r="495" spans="2:18" customFormat="1" x14ac:dyDescent="0.25">
      <c r="B495" s="19" t="s">
        <v>1082</v>
      </c>
      <c r="C495" s="3" t="s">
        <v>964</v>
      </c>
      <c r="D495" s="3">
        <v>2.6666666666666665</v>
      </c>
      <c r="E495" s="3">
        <v>23.529640075775539</v>
      </c>
      <c r="F495" s="3">
        <v>860</v>
      </c>
      <c r="G495" s="4">
        <v>6.58</v>
      </c>
      <c r="H495" s="7"/>
      <c r="I495" s="7"/>
      <c r="J495" s="38">
        <f t="shared" si="93"/>
        <v>6.4832681181667695</v>
      </c>
      <c r="K495" s="37">
        <f t="shared" si="94"/>
        <v>8.0691627724047503</v>
      </c>
      <c r="L495" s="37">
        <f t="shared" si="95"/>
        <v>2.6662904104614435</v>
      </c>
      <c r="M495" s="39">
        <f t="shared" si="96"/>
        <v>6.5771722346234602</v>
      </c>
      <c r="N495" s="117"/>
      <c r="O495" s="38">
        <f t="shared" si="89"/>
        <v>2.4312255443125386</v>
      </c>
      <c r="P495" s="37">
        <f t="shared" si="90"/>
        <v>3.0259360396517816</v>
      </c>
      <c r="Q495" s="37">
        <f t="shared" si="91"/>
        <v>0.99985890392304144</v>
      </c>
      <c r="R495" s="39">
        <f t="shared" si="92"/>
        <v>2.4664395879837979</v>
      </c>
    </row>
    <row r="496" spans="2:18" customFormat="1" x14ac:dyDescent="0.25">
      <c r="B496" s="19" t="s">
        <v>1082</v>
      </c>
      <c r="C496" s="3" t="s">
        <v>965</v>
      </c>
      <c r="D496" s="3">
        <v>2.6666666666666665</v>
      </c>
      <c r="E496" s="3">
        <v>17.925784291712006</v>
      </c>
      <c r="F496" s="3">
        <v>810</v>
      </c>
      <c r="G496" s="4">
        <v>4.4800000000000004</v>
      </c>
      <c r="H496" s="7"/>
      <c r="I496" s="7"/>
      <c r="J496" s="38">
        <f t="shared" si="93"/>
        <v>4.8651300759682092</v>
      </c>
      <c r="K496" s="37">
        <f t="shared" si="94"/>
        <v>6.1473983795339802</v>
      </c>
      <c r="L496" s="37">
        <f t="shared" si="95"/>
        <v>1.4543784571922502</v>
      </c>
      <c r="M496" s="39">
        <f t="shared" si="96"/>
        <v>2.4410586151403315</v>
      </c>
      <c r="N496" s="117"/>
      <c r="O496" s="38">
        <f t="shared" si="89"/>
        <v>1.8244237784880786</v>
      </c>
      <c r="P496" s="37">
        <f t="shared" si="90"/>
        <v>2.3052743923252428</v>
      </c>
      <c r="Q496" s="37">
        <f t="shared" si="91"/>
        <v>0.54539192144709392</v>
      </c>
      <c r="R496" s="39">
        <f t="shared" si="92"/>
        <v>0.91539698067762432</v>
      </c>
    </row>
    <row r="497" spans="2:18" customFormat="1" x14ac:dyDescent="0.25">
      <c r="B497" s="19" t="s">
        <v>1082</v>
      </c>
      <c r="C497" s="3" t="s">
        <v>966</v>
      </c>
      <c r="D497" s="3">
        <v>2.6666666666666665</v>
      </c>
      <c r="E497" s="3">
        <v>19.990362738472246</v>
      </c>
      <c r="F497" s="3">
        <v>840</v>
      </c>
      <c r="G497" s="4">
        <v>7.68</v>
      </c>
      <c r="H497" s="7"/>
      <c r="I497" s="7"/>
      <c r="J497" s="38">
        <f t="shared" si="93"/>
        <v>5.3997994556343718</v>
      </c>
      <c r="K497" s="37">
        <f t="shared" si="94"/>
        <v>6.8554168400653124</v>
      </c>
      <c r="L497" s="37">
        <f t="shared" si="95"/>
        <v>1.8438539646071497</v>
      </c>
      <c r="M497" s="39">
        <f t="shared" si="96"/>
        <v>3.5637879058672541</v>
      </c>
      <c r="N497" s="117"/>
      <c r="O497" s="38">
        <f t="shared" si="89"/>
        <v>2.0249247958628898</v>
      </c>
      <c r="P497" s="37">
        <f t="shared" si="90"/>
        <v>2.5707813150244925</v>
      </c>
      <c r="Q497" s="37">
        <f t="shared" si="91"/>
        <v>0.69144523672768121</v>
      </c>
      <c r="R497" s="39">
        <f t="shared" si="92"/>
        <v>1.3364204647002205</v>
      </c>
    </row>
    <row r="498" spans="2:18" customFormat="1" x14ac:dyDescent="0.25">
      <c r="B498" s="19" t="s">
        <v>1082</v>
      </c>
      <c r="C498" s="3" t="s">
        <v>967</v>
      </c>
      <c r="D498" s="3">
        <v>2.6666666666666665</v>
      </c>
      <c r="E498" s="3">
        <v>18.417350588559682</v>
      </c>
      <c r="F498" s="3">
        <v>820</v>
      </c>
      <c r="G498" s="4">
        <v>4.88</v>
      </c>
      <c r="H498" s="7"/>
      <c r="I498" s="7"/>
      <c r="J498" s="38">
        <f t="shared" si="93"/>
        <v>4.9855561769700687</v>
      </c>
      <c r="K498" s="37">
        <f t="shared" si="94"/>
        <v>6.3159742034700113</v>
      </c>
      <c r="L498" s="37">
        <f t="shared" si="95"/>
        <v>1.5442251659201205</v>
      </c>
      <c r="M498" s="39">
        <f t="shared" si="96"/>
        <v>2.6799229403362137</v>
      </c>
      <c r="N498" s="117"/>
      <c r="O498" s="38">
        <f t="shared" si="89"/>
        <v>1.8695835663637759</v>
      </c>
      <c r="P498" s="37">
        <f t="shared" si="90"/>
        <v>2.3684903263012544</v>
      </c>
      <c r="Q498" s="37">
        <f t="shared" si="91"/>
        <v>0.57908443722004521</v>
      </c>
      <c r="R498" s="39">
        <f t="shared" si="92"/>
        <v>1.0049711026260801</v>
      </c>
    </row>
    <row r="499" spans="2:18" customFormat="1" x14ac:dyDescent="0.25">
      <c r="B499" s="19" t="s">
        <v>1082</v>
      </c>
      <c r="C499" s="3" t="s">
        <v>968</v>
      </c>
      <c r="D499" s="3">
        <v>2.5833333333333335</v>
      </c>
      <c r="E499" s="3">
        <v>16.900560601853115</v>
      </c>
      <c r="F499" s="3">
        <v>980</v>
      </c>
      <c r="G499" s="4">
        <v>3.6</v>
      </c>
      <c r="H499" s="7"/>
      <c r="I499" s="7"/>
      <c r="J499" s="38">
        <f t="shared" si="93"/>
        <v>4.2899424787043356</v>
      </c>
      <c r="K499" s="37">
        <f t="shared" si="94"/>
        <v>5.5292870334714532</v>
      </c>
      <c r="L499" s="37">
        <f t="shared" si="95"/>
        <v>1.4686785466350392</v>
      </c>
      <c r="M499" s="39">
        <f t="shared" si="96"/>
        <v>2.1521203371546793</v>
      </c>
      <c r="N499" s="117"/>
      <c r="O499" s="38">
        <f t="shared" si="89"/>
        <v>1.6606228949823234</v>
      </c>
      <c r="P499" s="37">
        <f t="shared" si="90"/>
        <v>2.1403691742470139</v>
      </c>
      <c r="Q499" s="37">
        <f t="shared" si="91"/>
        <v>0.56852072772969253</v>
      </c>
      <c r="R499" s="39">
        <f t="shared" si="92"/>
        <v>0.8330788401889081</v>
      </c>
    </row>
    <row r="500" spans="2:18" customFormat="1" x14ac:dyDescent="0.25">
      <c r="B500" s="19" t="s">
        <v>1082</v>
      </c>
      <c r="C500" s="3" t="s">
        <v>969</v>
      </c>
      <c r="D500" s="3">
        <v>2.5833333333333335</v>
      </c>
      <c r="E500" s="3">
        <v>16.076143011518813</v>
      </c>
      <c r="F500" s="3">
        <v>950</v>
      </c>
      <c r="G500" s="4">
        <v>4.7300000000000004</v>
      </c>
      <c r="H500" s="7"/>
      <c r="I500" s="7"/>
      <c r="J500" s="38">
        <f t="shared" si="93"/>
        <v>4.1247197247618193</v>
      </c>
      <c r="K500" s="37">
        <f t="shared" si="94"/>
        <v>5.259565714765527</v>
      </c>
      <c r="L500" s="37">
        <f t="shared" si="95"/>
        <v>1.3071680712209406</v>
      </c>
      <c r="M500" s="39">
        <f t="shared" si="96"/>
        <v>1.8126254839258273</v>
      </c>
      <c r="N500" s="117"/>
      <c r="O500" s="38">
        <f t="shared" si="89"/>
        <v>1.5966656999078008</v>
      </c>
      <c r="P500" s="37">
        <f t="shared" si="90"/>
        <v>2.0359609218447199</v>
      </c>
      <c r="Q500" s="37">
        <f t="shared" si="91"/>
        <v>0.50600054369842862</v>
      </c>
      <c r="R500" s="39">
        <f t="shared" si="92"/>
        <v>0.70166147764870734</v>
      </c>
    </row>
    <row r="501" spans="2:18" customFormat="1" x14ac:dyDescent="0.25">
      <c r="B501" s="19" t="s">
        <v>1082</v>
      </c>
      <c r="C501" s="3" t="s">
        <v>970</v>
      </c>
      <c r="D501" s="3">
        <v>2.5833333333333335</v>
      </c>
      <c r="E501" s="3">
        <v>18.789850913035885</v>
      </c>
      <c r="F501" s="3">
        <v>970</v>
      </c>
      <c r="G501" s="4">
        <v>5.13</v>
      </c>
      <c r="H501" s="7"/>
      <c r="I501" s="7"/>
      <c r="J501" s="38">
        <f t="shared" si="93"/>
        <v>4.7426467311115692</v>
      </c>
      <c r="K501" s="37">
        <f t="shared" si="94"/>
        <v>6.1473983888391972</v>
      </c>
      <c r="L501" s="37">
        <f t="shared" si="95"/>
        <v>1.7441913387127732</v>
      </c>
      <c r="M501" s="39">
        <f t="shared" si="96"/>
        <v>2.9152279791569153</v>
      </c>
      <c r="N501" s="117"/>
      <c r="O501" s="38">
        <f t="shared" si="89"/>
        <v>1.8358632507528654</v>
      </c>
      <c r="P501" s="37">
        <f t="shared" si="90"/>
        <v>2.3796380860022697</v>
      </c>
      <c r="Q501" s="37">
        <f t="shared" si="91"/>
        <v>0.67517084079204115</v>
      </c>
      <c r="R501" s="39">
        <f t="shared" si="92"/>
        <v>1.1284753467704187</v>
      </c>
    </row>
    <row r="502" spans="2:18" customFormat="1" x14ac:dyDescent="0.25">
      <c r="B502" s="19" t="s">
        <v>1082</v>
      </c>
      <c r="C502" s="3" t="s">
        <v>971</v>
      </c>
      <c r="D502" s="3">
        <v>2.5833333333333335</v>
      </c>
      <c r="E502" s="3">
        <v>17.690627459256817</v>
      </c>
      <c r="F502" s="3">
        <v>940</v>
      </c>
      <c r="G502" s="4">
        <v>5.19</v>
      </c>
      <c r="H502" s="7"/>
      <c r="I502" s="7"/>
      <c r="J502" s="38">
        <f t="shared" si="93"/>
        <v>4.4947873488051817</v>
      </c>
      <c r="K502" s="37">
        <f t="shared" si="94"/>
        <v>5.7877699638979641</v>
      </c>
      <c r="L502" s="37">
        <f t="shared" si="95"/>
        <v>1.511386830118969</v>
      </c>
      <c r="M502" s="39">
        <f t="shared" si="96"/>
        <v>2.3454213444167853</v>
      </c>
      <c r="N502" s="117"/>
      <c r="O502" s="38">
        <f t="shared" si="89"/>
        <v>1.7399176834084573</v>
      </c>
      <c r="P502" s="37">
        <f t="shared" si="90"/>
        <v>2.2404270827992119</v>
      </c>
      <c r="Q502" s="37">
        <f t="shared" si="91"/>
        <v>0.58505296649766536</v>
      </c>
      <c r="R502" s="39">
        <f t="shared" si="92"/>
        <v>0.90790503654843291</v>
      </c>
    </row>
    <row r="503" spans="2:18" customFormat="1" x14ac:dyDescent="0.25">
      <c r="B503" s="19" t="s">
        <v>1082</v>
      </c>
      <c r="C503" s="3" t="s">
        <v>972</v>
      </c>
      <c r="D503" s="3">
        <v>2.5833333333333335</v>
      </c>
      <c r="E503" s="3">
        <v>15.52653128462928</v>
      </c>
      <c r="F503" s="3">
        <v>990</v>
      </c>
      <c r="G503" s="4">
        <v>4.58</v>
      </c>
      <c r="H503" s="7"/>
      <c r="I503" s="7"/>
      <c r="J503" s="38">
        <f t="shared" si="93"/>
        <v>3.9866631198922966</v>
      </c>
      <c r="K503" s="37">
        <f t="shared" si="94"/>
        <v>5.0797515022949105</v>
      </c>
      <c r="L503" s="37">
        <f t="shared" si="95"/>
        <v>1.3003277309457588</v>
      </c>
      <c r="M503" s="39">
        <f t="shared" si="96"/>
        <v>1.7312520183316702</v>
      </c>
      <c r="N503" s="117"/>
      <c r="O503" s="38">
        <f t="shared" si="89"/>
        <v>1.5432244335066954</v>
      </c>
      <c r="P503" s="37">
        <f t="shared" si="90"/>
        <v>1.966355420243191</v>
      </c>
      <c r="Q503" s="37">
        <f t="shared" si="91"/>
        <v>0.50335267004351947</v>
      </c>
      <c r="R503" s="39">
        <f t="shared" si="92"/>
        <v>0.67016207161225938</v>
      </c>
    </row>
    <row r="504" spans="2:18" customFormat="1" x14ac:dyDescent="0.25">
      <c r="B504" s="19" t="s">
        <v>1082</v>
      </c>
      <c r="C504" s="3" t="s">
        <v>973</v>
      </c>
      <c r="D504" s="3">
        <v>3.25</v>
      </c>
      <c r="E504" s="3">
        <v>10.592076715596736</v>
      </c>
      <c r="F504" s="3">
        <v>1052</v>
      </c>
      <c r="G504" s="4">
        <v>3</v>
      </c>
      <c r="H504" s="7"/>
      <c r="I504" s="7"/>
      <c r="J504" s="38">
        <f t="shared" si="93"/>
        <v>4.2344958279485203</v>
      </c>
      <c r="K504" s="37">
        <f t="shared" si="94"/>
        <v>4.7201230304546478</v>
      </c>
      <c r="L504" s="37">
        <f t="shared" si="95"/>
        <v>1.6227840076049458</v>
      </c>
      <c r="M504" s="39">
        <f t="shared" si="96"/>
        <v>2.1743164312216714</v>
      </c>
      <c r="N504" s="117"/>
      <c r="O504" s="38">
        <f t="shared" si="89"/>
        <v>1.3029217932149293</v>
      </c>
      <c r="P504" s="37">
        <f t="shared" si="90"/>
        <v>1.4523455478321994</v>
      </c>
      <c r="Q504" s="37">
        <f t="shared" si="91"/>
        <v>0.49931815618613717</v>
      </c>
      <c r="R504" s="39">
        <f t="shared" si="92"/>
        <v>0.66902044037589892</v>
      </c>
    </row>
    <row r="505" spans="2:18" customFormat="1" x14ac:dyDescent="0.25">
      <c r="B505" s="19" t="s">
        <v>1082</v>
      </c>
      <c r="C505" s="3" t="s">
        <v>974</v>
      </c>
      <c r="D505" s="3">
        <v>10.25</v>
      </c>
      <c r="E505" s="3">
        <v>19.926671907098005</v>
      </c>
      <c r="F505" s="3">
        <v>340</v>
      </c>
      <c r="G505" s="4">
        <v>22.3</v>
      </c>
      <c r="H505" s="7"/>
      <c r="I505" s="7"/>
      <c r="J505" s="38">
        <f t="shared" si="93"/>
        <v>18.014407433934036</v>
      </c>
      <c r="K505" s="37">
        <f t="shared" si="94"/>
        <v>20.116714291322371</v>
      </c>
      <c r="L505" s="37">
        <f t="shared" si="95"/>
        <v>8.9692132866144352</v>
      </c>
      <c r="M505" s="39">
        <f t="shared" si="96"/>
        <v>61.055818437317519</v>
      </c>
      <c r="N505" s="117"/>
      <c r="O505" s="38">
        <f t="shared" si="89"/>
        <v>1.7575031642862473</v>
      </c>
      <c r="P505" s="37">
        <f t="shared" si="90"/>
        <v>1.9626062723241338</v>
      </c>
      <c r="Q505" s="37">
        <f t="shared" si="91"/>
        <v>0.87504519869409125</v>
      </c>
      <c r="R505" s="39">
        <f t="shared" si="92"/>
        <v>5.956665213396831</v>
      </c>
    </row>
    <row r="506" spans="2:18" customFormat="1" x14ac:dyDescent="0.25">
      <c r="B506" s="19" t="s">
        <v>1082</v>
      </c>
      <c r="C506" s="3" t="s">
        <v>975</v>
      </c>
      <c r="D506" s="3">
        <v>6.25</v>
      </c>
      <c r="E506" s="3">
        <v>20.439701220652534</v>
      </c>
      <c r="F506" s="3">
        <v>820</v>
      </c>
      <c r="G506" s="4">
        <v>16.37</v>
      </c>
      <c r="H506" s="7"/>
      <c r="I506" s="7"/>
      <c r="J506" s="38">
        <f t="shared" si="93"/>
        <v>13.437101126939739</v>
      </c>
      <c r="K506" s="37">
        <f t="shared" si="94"/>
        <v>16.183278662476969</v>
      </c>
      <c r="L506" s="37">
        <f t="shared" si="95"/>
        <v>10.276726976997313</v>
      </c>
      <c r="M506" s="39">
        <f t="shared" si="96"/>
        <v>53.260424903448481</v>
      </c>
      <c r="N506" s="117"/>
      <c r="O506" s="38">
        <f t="shared" si="89"/>
        <v>2.149936180310358</v>
      </c>
      <c r="P506" s="37">
        <f t="shared" si="90"/>
        <v>2.589324585996315</v>
      </c>
      <c r="Q506" s="37">
        <f t="shared" si="91"/>
        <v>1.6442763163195702</v>
      </c>
      <c r="R506" s="39">
        <f t="shared" si="92"/>
        <v>8.5216679845517564</v>
      </c>
    </row>
    <row r="507" spans="2:18" customFormat="1" x14ac:dyDescent="0.25">
      <c r="B507" s="19" t="s">
        <v>1082</v>
      </c>
      <c r="C507" s="3" t="s">
        <v>976</v>
      </c>
      <c r="D507" s="3">
        <v>6.25</v>
      </c>
      <c r="E507" s="3">
        <v>18.878335155186026</v>
      </c>
      <c r="F507" s="3">
        <v>520</v>
      </c>
      <c r="G507" s="4">
        <v>13.92</v>
      </c>
      <c r="H507" s="7"/>
      <c r="I507" s="7"/>
      <c r="J507" s="38">
        <f t="shared" si="93"/>
        <v>12.877648195383246</v>
      </c>
      <c r="K507" s="37">
        <f t="shared" si="94"/>
        <v>14.947055986871092</v>
      </c>
      <c r="L507" s="37">
        <f t="shared" si="95"/>
        <v>6.1455016844244357</v>
      </c>
      <c r="M507" s="39">
        <f t="shared" si="96"/>
        <v>29.146616004174483</v>
      </c>
      <c r="N507" s="117"/>
      <c r="O507" s="38">
        <f t="shared" si="89"/>
        <v>2.0604237112613193</v>
      </c>
      <c r="P507" s="37">
        <f t="shared" si="90"/>
        <v>2.3915289578993746</v>
      </c>
      <c r="Q507" s="37">
        <f t="shared" si="91"/>
        <v>0.9832802695079097</v>
      </c>
      <c r="R507" s="39">
        <f t="shared" si="92"/>
        <v>4.6634585606679169</v>
      </c>
    </row>
    <row r="508" spans="2:18" customFormat="1" x14ac:dyDescent="0.25">
      <c r="B508" s="19" t="s">
        <v>1082</v>
      </c>
      <c r="C508" s="3" t="s">
        <v>977</v>
      </c>
      <c r="D508" s="3">
        <v>6.25</v>
      </c>
      <c r="E508" s="3">
        <v>23.392102508080125</v>
      </c>
      <c r="F508" s="3">
        <v>540</v>
      </c>
      <c r="G508" s="4">
        <v>17.46</v>
      </c>
      <c r="H508" s="7"/>
      <c r="I508" s="7"/>
      <c r="J508" s="38">
        <f t="shared" si="93"/>
        <v>16.271679067819989</v>
      </c>
      <c r="K508" s="37">
        <f t="shared" si="94"/>
        <v>18.520863358168089</v>
      </c>
      <c r="L508" s="37">
        <f t="shared" si="95"/>
        <v>9.7713651324786817</v>
      </c>
      <c r="M508" s="39">
        <f t="shared" si="96"/>
        <v>63.278879384239843</v>
      </c>
      <c r="N508" s="117"/>
      <c r="O508" s="38">
        <f t="shared" si="89"/>
        <v>2.6034686508511982</v>
      </c>
      <c r="P508" s="37">
        <f t="shared" si="90"/>
        <v>2.9633381373068941</v>
      </c>
      <c r="Q508" s="37">
        <f t="shared" si="91"/>
        <v>1.5634184211965891</v>
      </c>
      <c r="R508" s="39">
        <f t="shared" si="92"/>
        <v>10.124620701478374</v>
      </c>
    </row>
    <row r="509" spans="2:18" customFormat="1" x14ac:dyDescent="0.25">
      <c r="B509" s="19" t="s">
        <v>1082</v>
      </c>
      <c r="C509" s="3" t="s">
        <v>978</v>
      </c>
      <c r="D509" s="3">
        <v>6.25</v>
      </c>
      <c r="E509" s="3">
        <v>18.36734262466971</v>
      </c>
      <c r="F509" s="3">
        <v>740</v>
      </c>
      <c r="G509" s="4">
        <v>15.12</v>
      </c>
      <c r="H509" s="7"/>
      <c r="I509" s="7"/>
      <c r="J509" s="38">
        <f t="shared" si="93"/>
        <v>12.181196897872871</v>
      </c>
      <c r="K509" s="37">
        <f t="shared" si="94"/>
        <v>14.542474020309166</v>
      </c>
      <c r="L509" s="37">
        <f t="shared" si="95"/>
        <v>7.6254765447795485</v>
      </c>
      <c r="M509" s="39">
        <f t="shared" si="96"/>
        <v>34.411972377200819</v>
      </c>
      <c r="N509" s="117"/>
      <c r="O509" s="38">
        <f t="shared" si="89"/>
        <v>1.9489915036596595</v>
      </c>
      <c r="P509" s="37">
        <f t="shared" si="90"/>
        <v>2.3267958432494664</v>
      </c>
      <c r="Q509" s="37">
        <f t="shared" si="91"/>
        <v>1.2200762471647277</v>
      </c>
      <c r="R509" s="39">
        <f t="shared" si="92"/>
        <v>5.5059155803521307</v>
      </c>
    </row>
    <row r="510" spans="2:18" customFormat="1" x14ac:dyDescent="0.25">
      <c r="B510" s="19" t="s">
        <v>1082</v>
      </c>
      <c r="C510" s="3" t="s">
        <v>979</v>
      </c>
      <c r="D510" s="3">
        <v>6.25</v>
      </c>
      <c r="E510" s="3">
        <v>20.524866642405257</v>
      </c>
      <c r="F510" s="3">
        <v>780</v>
      </c>
      <c r="G510" s="4">
        <v>15.63</v>
      </c>
      <c r="H510" s="7"/>
      <c r="I510" s="7"/>
      <c r="J510" s="38">
        <f t="shared" si="93"/>
        <v>13.568119494973875</v>
      </c>
      <c r="K510" s="37">
        <f t="shared" si="94"/>
        <v>16.250708990237293</v>
      </c>
      <c r="L510" s="37">
        <f t="shared" si="95"/>
        <v>9.8739115537170346</v>
      </c>
      <c r="M510" s="39">
        <f t="shared" si="96"/>
        <v>51.609681013099802</v>
      </c>
      <c r="N510" s="117"/>
      <c r="O510" s="38">
        <f t="shared" si="89"/>
        <v>2.1708991191958198</v>
      </c>
      <c r="P510" s="37">
        <f t="shared" si="90"/>
        <v>2.6001134384379667</v>
      </c>
      <c r="Q510" s="37">
        <f t="shared" si="91"/>
        <v>1.5798258485947256</v>
      </c>
      <c r="R510" s="39">
        <f t="shared" si="92"/>
        <v>8.257548962095969</v>
      </c>
    </row>
    <row r="511" spans="2:18" customFormat="1" x14ac:dyDescent="0.25">
      <c r="B511" s="19" t="s">
        <v>1082</v>
      </c>
      <c r="C511" s="3" t="s">
        <v>980</v>
      </c>
      <c r="D511" s="3">
        <v>6.25</v>
      </c>
      <c r="E511" s="3">
        <v>21.291355438179725</v>
      </c>
      <c r="F511" s="3">
        <v>800</v>
      </c>
      <c r="G511" s="4">
        <v>15.95</v>
      </c>
      <c r="H511" s="7"/>
      <c r="I511" s="7"/>
      <c r="J511" s="38">
        <f t="shared" si="93"/>
        <v>14.087280026571253</v>
      </c>
      <c r="K511" s="37">
        <f t="shared" si="94"/>
        <v>16.857581940080177</v>
      </c>
      <c r="L511" s="37">
        <f t="shared" si="95"/>
        <v>10.899145875558913</v>
      </c>
      <c r="M511" s="39">
        <f t="shared" si="96"/>
        <v>59.997967692546624</v>
      </c>
      <c r="N511" s="117"/>
      <c r="O511" s="38">
        <f t="shared" si="89"/>
        <v>2.2539648042514004</v>
      </c>
      <c r="P511" s="37">
        <f t="shared" si="90"/>
        <v>2.6972131104128283</v>
      </c>
      <c r="Q511" s="37">
        <f t="shared" si="91"/>
        <v>1.7438633400894261</v>
      </c>
      <c r="R511" s="39">
        <f t="shared" si="92"/>
        <v>9.5996748308074604</v>
      </c>
    </row>
    <row r="512" spans="2:18" customFormat="1" x14ac:dyDescent="0.25">
      <c r="B512" s="19" t="s">
        <v>1082</v>
      </c>
      <c r="C512" s="3" t="s">
        <v>981</v>
      </c>
      <c r="D512" s="3">
        <v>6.25</v>
      </c>
      <c r="E512" s="3">
        <v>23.108217768904399</v>
      </c>
      <c r="F512" s="3">
        <v>800</v>
      </c>
      <c r="G512" s="4">
        <v>15.97</v>
      </c>
      <c r="H512" s="7"/>
      <c r="I512" s="7"/>
      <c r="J512" s="38">
        <f t="shared" si="93"/>
        <v>15.494553399865799</v>
      </c>
      <c r="K512" s="37">
        <f t="shared" si="94"/>
        <v>18.296095598967021</v>
      </c>
      <c r="L512" s="37">
        <f t="shared" si="95"/>
        <v>13.008833783692239</v>
      </c>
      <c r="M512" s="39">
        <f t="shared" si="96"/>
        <v>81.219272948934261</v>
      </c>
      <c r="N512" s="117"/>
      <c r="O512" s="38">
        <f t="shared" si="89"/>
        <v>2.4791285439785278</v>
      </c>
      <c r="P512" s="37">
        <f t="shared" si="90"/>
        <v>2.9273752958347234</v>
      </c>
      <c r="Q512" s="37">
        <f t="shared" si="91"/>
        <v>2.0814134053907583</v>
      </c>
      <c r="R512" s="39">
        <f t="shared" si="92"/>
        <v>12.995083671829482</v>
      </c>
    </row>
    <row r="513" spans="2:18" customFormat="1" x14ac:dyDescent="0.25">
      <c r="B513" s="19" t="s">
        <v>1082</v>
      </c>
      <c r="C513" s="3" t="s">
        <v>982</v>
      </c>
      <c r="D513" s="3">
        <v>11</v>
      </c>
      <c r="E513" s="3">
        <v>16.803145234521306</v>
      </c>
      <c r="F513" s="3">
        <v>380</v>
      </c>
      <c r="G513" s="4">
        <v>14.62</v>
      </c>
      <c r="H513" s="7"/>
      <c r="I513" s="7"/>
      <c r="J513" s="38">
        <f t="shared" si="93"/>
        <v>15.636897429983662</v>
      </c>
      <c r="K513" s="37">
        <f t="shared" si="94"/>
        <v>17.408262799620896</v>
      </c>
      <c r="L513" s="37">
        <f t="shared" si="95"/>
        <v>7.3186405031956427</v>
      </c>
      <c r="M513" s="39">
        <f t="shared" si="96"/>
        <v>41.218470140202683</v>
      </c>
      <c r="N513" s="117"/>
      <c r="O513" s="38">
        <f t="shared" si="89"/>
        <v>1.4215361299985148</v>
      </c>
      <c r="P513" s="37">
        <f t="shared" si="90"/>
        <v>1.5825693454200815</v>
      </c>
      <c r="Q513" s="37">
        <f t="shared" si="91"/>
        <v>0.66533095483596749</v>
      </c>
      <c r="R513" s="39">
        <f t="shared" si="92"/>
        <v>3.747133649109335</v>
      </c>
    </row>
    <row r="514" spans="2:18" customFormat="1" x14ac:dyDescent="0.25">
      <c r="B514" s="19" t="s">
        <v>1082</v>
      </c>
      <c r="C514" s="3" t="s">
        <v>983</v>
      </c>
      <c r="D514" s="3">
        <v>12.083333333333334</v>
      </c>
      <c r="E514" s="3">
        <v>16.888055755647699</v>
      </c>
      <c r="F514" s="3">
        <v>300</v>
      </c>
      <c r="G514" s="4">
        <v>15.4</v>
      </c>
      <c r="H514" s="7"/>
      <c r="I514" s="7"/>
      <c r="J514" s="38">
        <f t="shared" si="93"/>
        <v>16.413947109978949</v>
      </c>
      <c r="K514" s="37">
        <f t="shared" si="94"/>
        <v>18.060089277249588</v>
      </c>
      <c r="L514" s="37">
        <f t="shared" si="95"/>
        <v>7.1457591401942349</v>
      </c>
      <c r="M514" s="39">
        <f t="shared" si="96"/>
        <v>42.191830683756528</v>
      </c>
      <c r="N514" s="117"/>
      <c r="O514" s="38">
        <f t="shared" si="89"/>
        <v>1.3583956228948095</v>
      </c>
      <c r="P514" s="37">
        <f t="shared" si="90"/>
        <v>1.4946280781172072</v>
      </c>
      <c r="Q514" s="37">
        <f t="shared" si="91"/>
        <v>0.59137317022297109</v>
      </c>
      <c r="R514" s="39">
        <f t="shared" si="92"/>
        <v>3.4917377117591606</v>
      </c>
    </row>
    <row r="515" spans="2:18" customFormat="1" x14ac:dyDescent="0.25">
      <c r="B515" s="19" t="s">
        <v>1082</v>
      </c>
      <c r="C515" s="3" t="s">
        <v>984</v>
      </c>
      <c r="D515" s="3">
        <v>12.083333333333334</v>
      </c>
      <c r="E515" s="3">
        <v>16.225985119303079</v>
      </c>
      <c r="F515" s="3">
        <v>190</v>
      </c>
      <c r="G515" s="4">
        <v>14.21</v>
      </c>
      <c r="H515" s="7"/>
      <c r="I515" s="7"/>
      <c r="J515" s="38">
        <f t="shared" si="93"/>
        <v>16.08431013592946</v>
      </c>
      <c r="K515" s="37">
        <f t="shared" si="94"/>
        <v>17.352070842609439</v>
      </c>
      <c r="L515" s="37">
        <f t="shared" si="95"/>
        <v>5.8665691684119157</v>
      </c>
      <c r="M515" s="39">
        <f t="shared" si="96"/>
        <v>33.323072824175384</v>
      </c>
      <c r="N515" s="117"/>
      <c r="O515" s="38">
        <f t="shared" si="89"/>
        <v>1.3311153215941622</v>
      </c>
      <c r="P515" s="37">
        <f t="shared" si="90"/>
        <v>1.4360334490435398</v>
      </c>
      <c r="Q515" s="37">
        <f t="shared" si="91"/>
        <v>0.48550917255822745</v>
      </c>
      <c r="R515" s="39">
        <f t="shared" si="92"/>
        <v>2.7577715440696866</v>
      </c>
    </row>
    <row r="516" spans="2:18" customFormat="1" x14ac:dyDescent="0.25">
      <c r="B516" s="19" t="s">
        <v>1082</v>
      </c>
      <c r="C516" s="3" t="s">
        <v>985</v>
      </c>
      <c r="D516" s="3">
        <v>12.083333333333334</v>
      </c>
      <c r="E516" s="3">
        <v>7.4088856924278979</v>
      </c>
      <c r="F516" s="3">
        <v>210</v>
      </c>
      <c r="G516" s="4">
        <v>8.16</v>
      </c>
      <c r="H516" s="7"/>
      <c r="I516" s="7"/>
      <c r="J516" s="38">
        <f t="shared" si="93"/>
        <v>10.106174174154962</v>
      </c>
      <c r="K516" s="37">
        <f t="shared" si="94"/>
        <v>7.9230634352588467</v>
      </c>
      <c r="L516" s="37">
        <f t="shared" si="95"/>
        <v>2.5464817001306663</v>
      </c>
      <c r="M516" s="39">
        <f t="shared" si="96"/>
        <v>7.841425437089832</v>
      </c>
      <c r="N516" s="117"/>
      <c r="O516" s="38">
        <f t="shared" si="89"/>
        <v>0.83637303510247951</v>
      </c>
      <c r="P516" s="37">
        <f t="shared" si="90"/>
        <v>0.6557018015386632</v>
      </c>
      <c r="Q516" s="37">
        <f t="shared" si="91"/>
        <v>0.21074331311426203</v>
      </c>
      <c r="R516" s="39">
        <f t="shared" si="92"/>
        <v>0.64894555341433091</v>
      </c>
    </row>
    <row r="517" spans="2:18" customFormat="1" x14ac:dyDescent="0.25">
      <c r="B517" s="19" t="s">
        <v>1082</v>
      </c>
      <c r="C517" s="3" t="s">
        <v>986</v>
      </c>
      <c r="D517" s="3">
        <v>11</v>
      </c>
      <c r="E517" s="3">
        <v>17.866223499842857</v>
      </c>
      <c r="F517" s="3">
        <v>160</v>
      </c>
      <c r="G517" s="4">
        <v>16.239999999999998</v>
      </c>
      <c r="H517" s="7"/>
      <c r="I517" s="7"/>
      <c r="J517" s="38">
        <f t="shared" si="93"/>
        <v>17.016204297861844</v>
      </c>
      <c r="K517" s="37">
        <f t="shared" si="94"/>
        <v>18.509624810184384</v>
      </c>
      <c r="L517" s="37">
        <f t="shared" si="95"/>
        <v>6.2240310734030313</v>
      </c>
      <c r="M517" s="39">
        <f t="shared" si="96"/>
        <v>38.276824088502181</v>
      </c>
      <c r="N517" s="117"/>
      <c r="O517" s="38">
        <f t="shared" si="89"/>
        <v>1.5469276634419857</v>
      </c>
      <c r="P517" s="37">
        <f t="shared" si="90"/>
        <v>1.6826931645622167</v>
      </c>
      <c r="Q517" s="37">
        <f t="shared" si="91"/>
        <v>0.56582100667300284</v>
      </c>
      <c r="R517" s="39">
        <f t="shared" si="92"/>
        <v>3.4797112807729254</v>
      </c>
    </row>
    <row r="518" spans="2:18" customFormat="1" x14ac:dyDescent="0.25">
      <c r="B518" s="19" t="s">
        <v>1082</v>
      </c>
      <c r="C518" s="3" t="s">
        <v>987</v>
      </c>
      <c r="D518" s="3">
        <v>12.083333333333334</v>
      </c>
      <c r="E518" s="3">
        <v>18.643068394846928</v>
      </c>
      <c r="F518" s="3">
        <v>300</v>
      </c>
      <c r="G518" s="4">
        <v>19.27</v>
      </c>
      <c r="H518" s="7"/>
      <c r="I518" s="7"/>
      <c r="J518" s="38">
        <f t="shared" si="93"/>
        <v>17.995223369781097</v>
      </c>
      <c r="K518" s="37">
        <f t="shared" si="94"/>
        <v>19.936900048438563</v>
      </c>
      <c r="L518" s="37">
        <f t="shared" si="95"/>
        <v>8.4777046442738513</v>
      </c>
      <c r="M518" s="39">
        <f t="shared" si="96"/>
        <v>56.52930314055353</v>
      </c>
      <c r="N518" s="117"/>
      <c r="O518" s="38">
        <f t="shared" ref="O518:O556" si="97">J518/D518</f>
        <v>1.4892598650853321</v>
      </c>
      <c r="P518" s="37">
        <f t="shared" ref="P518:P556" si="98">K518/D518</f>
        <v>1.6499503488362948</v>
      </c>
      <c r="Q518" s="37">
        <f t="shared" ref="Q518:Q556" si="99">L518/D518</f>
        <v>0.70160314297438764</v>
      </c>
      <c r="R518" s="39">
        <f t="shared" ref="R518:R556" si="100">M518/D518</f>
        <v>4.6782871564596027</v>
      </c>
    </row>
    <row r="519" spans="2:18" customFormat="1" x14ac:dyDescent="0.25">
      <c r="B519" s="19" t="s">
        <v>1082</v>
      </c>
      <c r="C519" s="3" t="s">
        <v>988</v>
      </c>
      <c r="D519" s="3">
        <v>11</v>
      </c>
      <c r="E519" s="3">
        <v>11.672165443734622</v>
      </c>
      <c r="F519" s="3">
        <v>200</v>
      </c>
      <c r="G519" s="4">
        <v>11.82</v>
      </c>
      <c r="H519" s="7"/>
      <c r="I519" s="7"/>
      <c r="J519" s="38">
        <f t="shared" si="93"/>
        <v>12.235163786221589</v>
      </c>
      <c r="K519" s="37">
        <f t="shared" si="94"/>
        <v>12.09250534047262</v>
      </c>
      <c r="L519" s="37">
        <f t="shared" si="95"/>
        <v>3.573188967572797</v>
      </c>
      <c r="M519" s="39">
        <f t="shared" si="96"/>
        <v>14.268784152686289</v>
      </c>
      <c r="N519" s="117"/>
      <c r="O519" s="38">
        <f t="shared" si="97"/>
        <v>1.1122876169292353</v>
      </c>
      <c r="P519" s="37">
        <f t="shared" si="98"/>
        <v>1.0993186673156927</v>
      </c>
      <c r="Q519" s="37">
        <f t="shared" si="99"/>
        <v>0.3248353606884361</v>
      </c>
      <c r="R519" s="39">
        <f t="shared" si="100"/>
        <v>1.2971621956987536</v>
      </c>
    </row>
    <row r="520" spans="2:18" customFormat="1" x14ac:dyDescent="0.25">
      <c r="B520" s="19" t="s">
        <v>1082</v>
      </c>
      <c r="C520" s="3" t="s">
        <v>989</v>
      </c>
      <c r="D520" s="3">
        <v>12.083333333333334</v>
      </c>
      <c r="E520" s="3">
        <v>9.66833310217541</v>
      </c>
      <c r="F520" s="3">
        <v>350</v>
      </c>
      <c r="G520" s="4">
        <v>10.77</v>
      </c>
      <c r="H520" s="7"/>
      <c r="I520" s="7"/>
      <c r="J520" s="38">
        <f t="shared" si="93"/>
        <v>11.169841261690115</v>
      </c>
      <c r="K520" s="37">
        <f t="shared" si="94"/>
        <v>10.339316823316505</v>
      </c>
      <c r="L520" s="37">
        <f t="shared" si="95"/>
        <v>3.7574489795991179</v>
      </c>
      <c r="M520" s="39">
        <f t="shared" si="96"/>
        <v>13.408842345145455</v>
      </c>
      <c r="N520" s="117"/>
      <c r="O520" s="38">
        <f t="shared" si="97"/>
        <v>0.92440065613987155</v>
      </c>
      <c r="P520" s="37">
        <f t="shared" si="98"/>
        <v>0.85566759917102109</v>
      </c>
      <c r="Q520" s="37">
        <f t="shared" si="99"/>
        <v>0.31096129486337526</v>
      </c>
      <c r="R520" s="39">
        <f t="shared" si="100"/>
        <v>1.1096972975292789</v>
      </c>
    </row>
    <row r="521" spans="2:18" customFormat="1" x14ac:dyDescent="0.25">
      <c r="B521" s="19" t="s">
        <v>1082</v>
      </c>
      <c r="C521" s="3" t="s">
        <v>990</v>
      </c>
      <c r="D521" s="3">
        <v>11.083333333333334</v>
      </c>
      <c r="E521" s="3">
        <v>20.317931843816339</v>
      </c>
      <c r="F521" s="3">
        <v>490</v>
      </c>
      <c r="G521" s="4">
        <v>17.34</v>
      </c>
      <c r="H521" s="7"/>
      <c r="I521" s="7"/>
      <c r="J521" s="38">
        <f t="shared" si="93"/>
        <v>18.582827596626032</v>
      </c>
      <c r="K521" s="37">
        <f t="shared" si="94"/>
        <v>21.105692404707447</v>
      </c>
      <c r="L521" s="37">
        <f t="shared" si="95"/>
        <v>11.833082487355691</v>
      </c>
      <c r="M521" s="39">
        <f t="shared" si="96"/>
        <v>84.673050024601181</v>
      </c>
      <c r="N521" s="117"/>
      <c r="O521" s="38">
        <f t="shared" si="97"/>
        <v>1.676646098943702</v>
      </c>
      <c r="P521" s="37">
        <f t="shared" si="98"/>
        <v>1.9042729989209726</v>
      </c>
      <c r="Q521" s="37">
        <f t="shared" si="99"/>
        <v>1.0676465402125435</v>
      </c>
      <c r="R521" s="39">
        <f t="shared" si="100"/>
        <v>7.6396736864301813</v>
      </c>
    </row>
    <row r="522" spans="2:18" customFormat="1" x14ac:dyDescent="0.25">
      <c r="B522" s="19" t="s">
        <v>1082</v>
      </c>
      <c r="C522" s="3" t="s">
        <v>991</v>
      </c>
      <c r="D522" s="3">
        <v>11.083333333333334</v>
      </c>
      <c r="E522" s="3">
        <v>14.27015553886781</v>
      </c>
      <c r="F522" s="3">
        <v>520</v>
      </c>
      <c r="G522" s="4">
        <v>12.15</v>
      </c>
      <c r="H522" s="7"/>
      <c r="I522" s="7"/>
      <c r="J522" s="38">
        <f t="shared" si="93"/>
        <v>13.482089406526979</v>
      </c>
      <c r="K522" s="37">
        <f t="shared" si="94"/>
        <v>14.823433589887708</v>
      </c>
      <c r="L522" s="37">
        <f t="shared" si="95"/>
        <v>6.8081217535016538</v>
      </c>
      <c r="M522" s="39">
        <f t="shared" si="96"/>
        <v>31.97613437867837</v>
      </c>
      <c r="N522" s="117"/>
      <c r="O522" s="38">
        <f t="shared" si="97"/>
        <v>1.2164291193858927</v>
      </c>
      <c r="P522" s="37">
        <f t="shared" si="98"/>
        <v>1.3374526547267105</v>
      </c>
      <c r="Q522" s="37">
        <f t="shared" si="99"/>
        <v>0.61426662437608903</v>
      </c>
      <c r="R522" s="39">
        <f t="shared" si="100"/>
        <v>2.8850647559709808</v>
      </c>
    </row>
    <row r="523" spans="2:18" customFormat="1" x14ac:dyDescent="0.25">
      <c r="B523" s="19" t="s">
        <v>1082</v>
      </c>
      <c r="C523" s="3" t="s">
        <v>992</v>
      </c>
      <c r="D523" s="3">
        <v>11.083333333333334</v>
      </c>
      <c r="E523" s="3">
        <v>14.767825860920823</v>
      </c>
      <c r="F523" s="3">
        <v>660</v>
      </c>
      <c r="G523" s="4">
        <v>11.94</v>
      </c>
      <c r="H523" s="7"/>
      <c r="I523" s="7"/>
      <c r="J523" s="38">
        <f t="shared" si="93"/>
        <v>13.586864800276301</v>
      </c>
      <c r="K523" s="37">
        <f t="shared" si="94"/>
        <v>15.340399431536563</v>
      </c>
      <c r="L523" s="37">
        <f t="shared" si="95"/>
        <v>8.461820906752779</v>
      </c>
      <c r="M523" s="39">
        <f t="shared" si="96"/>
        <v>40.764985069086272</v>
      </c>
      <c r="N523" s="117"/>
      <c r="O523" s="38">
        <f t="shared" si="97"/>
        <v>1.2258825383707941</v>
      </c>
      <c r="P523" s="37">
        <f t="shared" si="98"/>
        <v>1.3840961893115695</v>
      </c>
      <c r="Q523" s="37">
        <f t="shared" si="99"/>
        <v>0.76347256301528832</v>
      </c>
      <c r="R523" s="39">
        <f t="shared" si="100"/>
        <v>3.6780437656318439</v>
      </c>
    </row>
    <row r="524" spans="2:18" customFormat="1" x14ac:dyDescent="0.25">
      <c r="B524" s="19" t="s">
        <v>1082</v>
      </c>
      <c r="C524" s="3" t="s">
        <v>993</v>
      </c>
      <c r="D524" s="3">
        <v>11.083333333333334</v>
      </c>
      <c r="E524" s="3">
        <v>16.866696349579165</v>
      </c>
      <c r="F524" s="3">
        <v>720</v>
      </c>
      <c r="G524" s="4">
        <v>14.58</v>
      </c>
      <c r="H524" s="7"/>
      <c r="I524" s="7"/>
      <c r="J524" s="38">
        <f t="shared" si="93"/>
        <v>15.047908451635962</v>
      </c>
      <c r="K524" s="37">
        <f t="shared" si="94"/>
        <v>17.520646676751284</v>
      </c>
      <c r="L524" s="37">
        <f t="shared" si="95"/>
        <v>11.160640910419009</v>
      </c>
      <c r="M524" s="39">
        <f t="shared" si="96"/>
        <v>61.94157687826705</v>
      </c>
      <c r="N524" s="117"/>
      <c r="O524" s="38">
        <f t="shared" si="97"/>
        <v>1.3577060257115152</v>
      </c>
      <c r="P524" s="37">
        <f t="shared" si="98"/>
        <v>1.5808102264738</v>
      </c>
      <c r="Q524" s="37">
        <f t="shared" si="99"/>
        <v>1.0069751197370533</v>
      </c>
      <c r="R524" s="39">
        <f t="shared" si="100"/>
        <v>5.5887137033022896</v>
      </c>
    </row>
    <row r="525" spans="2:18" customFormat="1" x14ac:dyDescent="0.25">
      <c r="B525" s="19" t="s">
        <v>1082</v>
      </c>
      <c r="C525" s="3" t="s">
        <v>994</v>
      </c>
      <c r="D525" s="3">
        <v>11.083333333333334</v>
      </c>
      <c r="E525" s="3">
        <v>13.361366255118829</v>
      </c>
      <c r="F525" s="3">
        <v>440</v>
      </c>
      <c r="G525" s="4">
        <v>11.72</v>
      </c>
      <c r="H525" s="7"/>
      <c r="I525" s="7"/>
      <c r="J525" s="38">
        <f t="shared" si="93"/>
        <v>12.990459117334581</v>
      </c>
      <c r="K525" s="37">
        <f t="shared" si="94"/>
        <v>13.879409009485453</v>
      </c>
      <c r="L525" s="37">
        <f t="shared" si="95"/>
        <v>5.6578801296048882</v>
      </c>
      <c r="M525" s="39">
        <f t="shared" si="96"/>
        <v>25.081968233955113</v>
      </c>
      <c r="N525" s="117"/>
      <c r="O525" s="38">
        <f t="shared" si="97"/>
        <v>1.1720714993083832</v>
      </c>
      <c r="P525" s="37">
        <f t="shared" si="98"/>
        <v>1.2522775046152288</v>
      </c>
      <c r="Q525" s="37">
        <f t="shared" si="99"/>
        <v>0.51048542522750873</v>
      </c>
      <c r="R525" s="39">
        <f t="shared" si="100"/>
        <v>2.2630347278756493</v>
      </c>
    </row>
    <row r="526" spans="2:18" customFormat="1" x14ac:dyDescent="0.25">
      <c r="B526" s="19" t="s">
        <v>1082</v>
      </c>
      <c r="C526" s="3" t="s">
        <v>995</v>
      </c>
      <c r="D526" s="3">
        <v>11.416666666666666</v>
      </c>
      <c r="E526" s="3">
        <v>22.712880768573292</v>
      </c>
      <c r="F526" s="3">
        <v>890</v>
      </c>
      <c r="G526" s="4">
        <v>16.27</v>
      </c>
      <c r="H526" s="7"/>
      <c r="I526" s="7"/>
      <c r="J526" s="38">
        <f t="shared" si="93"/>
        <v>20.210445998340127</v>
      </c>
      <c r="K526" s="37">
        <f t="shared" si="94"/>
        <v>23.836620647299402</v>
      </c>
      <c r="L526" s="37">
        <f t="shared" si="95"/>
        <v>24.723476217112815</v>
      </c>
      <c r="M526" s="39">
        <f t="shared" si="96"/>
        <v>205.88029908896297</v>
      </c>
      <c r="N526" s="117"/>
      <c r="O526" s="38">
        <f t="shared" si="97"/>
        <v>1.7702580436502302</v>
      </c>
      <c r="P526" s="37">
        <f t="shared" si="98"/>
        <v>2.087879180785349</v>
      </c>
      <c r="Q526" s="37">
        <f t="shared" si="99"/>
        <v>2.1655599606230203</v>
      </c>
      <c r="R526" s="39">
        <f t="shared" si="100"/>
        <v>18.033310869106245</v>
      </c>
    </row>
    <row r="527" spans="2:18" customFormat="1" x14ac:dyDescent="0.25">
      <c r="B527" s="19" t="s">
        <v>1082</v>
      </c>
      <c r="C527" s="3" t="s">
        <v>996</v>
      </c>
      <c r="D527" s="3">
        <v>11.416666666666666</v>
      </c>
      <c r="E527" s="3">
        <v>25.400732288097991</v>
      </c>
      <c r="F527" s="3">
        <v>770</v>
      </c>
      <c r="G527" s="4">
        <v>18.86</v>
      </c>
      <c r="H527" s="7"/>
      <c r="I527" s="7"/>
      <c r="J527" s="38">
        <f t="shared" si="93"/>
        <v>23.636256699539203</v>
      </c>
      <c r="K527" s="37">
        <f t="shared" si="94"/>
        <v>26.657455999714365</v>
      </c>
      <c r="L527" s="37">
        <f t="shared" si="95"/>
        <v>27.790190698541654</v>
      </c>
      <c r="M527" s="39">
        <f t="shared" si="96"/>
        <v>280.97811119553177</v>
      </c>
      <c r="N527" s="117"/>
      <c r="O527" s="38">
        <f t="shared" si="97"/>
        <v>2.0703290539742367</v>
      </c>
      <c r="P527" s="37">
        <f t="shared" si="98"/>
        <v>2.3349596496100173</v>
      </c>
      <c r="Q527" s="37">
        <f t="shared" si="99"/>
        <v>2.4341772874635028</v>
      </c>
      <c r="R527" s="39">
        <f t="shared" si="100"/>
        <v>24.611221418586727</v>
      </c>
    </row>
    <row r="528" spans="2:18" customFormat="1" x14ac:dyDescent="0.25">
      <c r="B528" s="19" t="s">
        <v>1082</v>
      </c>
      <c r="C528" s="3" t="s">
        <v>356</v>
      </c>
      <c r="D528" s="3">
        <v>6</v>
      </c>
      <c r="E528" s="3">
        <v>10.808950194129707</v>
      </c>
      <c r="F528" s="3">
        <v>960</v>
      </c>
      <c r="G528" s="4">
        <v>9.7100000000000009</v>
      </c>
      <c r="H528" s="7"/>
      <c r="I528" s="7"/>
      <c r="J528" s="38">
        <f t="shared" si="93"/>
        <v>7.7485352034151678</v>
      </c>
      <c r="K528" s="37">
        <f t="shared" si="94"/>
        <v>8.3388838733160267</v>
      </c>
      <c r="L528" s="37">
        <f t="shared" si="95"/>
        <v>4.5188580859427763</v>
      </c>
      <c r="M528" s="39">
        <f t="shared" si="96"/>
        <v>11.559865414416942</v>
      </c>
      <c r="N528" s="117"/>
      <c r="O528" s="38">
        <f t="shared" si="97"/>
        <v>1.291422533902528</v>
      </c>
      <c r="P528" s="37">
        <f t="shared" si="98"/>
        <v>1.3898139788860044</v>
      </c>
      <c r="Q528" s="37">
        <f t="shared" si="99"/>
        <v>0.75314301432379605</v>
      </c>
      <c r="R528" s="39">
        <f t="shared" si="100"/>
        <v>1.9266442357361571</v>
      </c>
    </row>
    <row r="529" spans="2:18" customFormat="1" x14ac:dyDescent="0.25">
      <c r="B529" s="19" t="s">
        <v>1082</v>
      </c>
      <c r="C529" s="3" t="s">
        <v>357</v>
      </c>
      <c r="D529" s="3">
        <v>6</v>
      </c>
      <c r="E529" s="3">
        <v>10.634142374278555</v>
      </c>
      <c r="F529" s="3">
        <v>770</v>
      </c>
      <c r="G529" s="4">
        <v>8.7899999999999991</v>
      </c>
      <c r="H529" s="7"/>
      <c r="I529" s="7"/>
      <c r="J529" s="38">
        <f t="shared" si="93"/>
        <v>7.8713742506664639</v>
      </c>
      <c r="K529" s="37">
        <f t="shared" si="94"/>
        <v>8.2040232176828845</v>
      </c>
      <c r="L529" s="37">
        <f t="shared" si="95"/>
        <v>3.5321430833561012</v>
      </c>
      <c r="M529" s="39">
        <f t="shared" si="96"/>
        <v>9.0378521683767499</v>
      </c>
      <c r="N529" s="117"/>
      <c r="O529" s="38">
        <f t="shared" si="97"/>
        <v>1.3118957084444107</v>
      </c>
      <c r="P529" s="37">
        <f t="shared" si="98"/>
        <v>1.3673372029471473</v>
      </c>
      <c r="Q529" s="37">
        <f t="shared" si="99"/>
        <v>0.58869051389268356</v>
      </c>
      <c r="R529" s="39">
        <f t="shared" si="100"/>
        <v>1.5063086947294584</v>
      </c>
    </row>
    <row r="530" spans="2:18" customFormat="1" x14ac:dyDescent="0.25">
      <c r="B530" s="19" t="s">
        <v>1082</v>
      </c>
      <c r="C530" s="3" t="s">
        <v>358</v>
      </c>
      <c r="D530" s="3">
        <v>6</v>
      </c>
      <c r="E530" s="3">
        <v>13.096019170515646</v>
      </c>
      <c r="F530" s="3">
        <v>870</v>
      </c>
      <c r="G530" s="4">
        <v>9.77</v>
      </c>
      <c r="H530" s="7"/>
      <c r="I530" s="7"/>
      <c r="J530" s="38">
        <f t="shared" si="93"/>
        <v>8.838809921621035</v>
      </c>
      <c r="K530" s="37">
        <f t="shared" si="94"/>
        <v>10.103310784516319</v>
      </c>
      <c r="L530" s="37">
        <f t="shared" si="95"/>
        <v>5.0650650146688196</v>
      </c>
      <c r="M530" s="39">
        <f t="shared" si="96"/>
        <v>15.27132712533332</v>
      </c>
      <c r="N530" s="117"/>
      <c r="O530" s="38">
        <f t="shared" si="97"/>
        <v>1.4731349869368391</v>
      </c>
      <c r="P530" s="37">
        <f t="shared" si="98"/>
        <v>1.6838851307527198</v>
      </c>
      <c r="Q530" s="37">
        <f t="shared" si="99"/>
        <v>0.84417750244480327</v>
      </c>
      <c r="R530" s="39">
        <f t="shared" si="100"/>
        <v>2.5452211875555535</v>
      </c>
    </row>
    <row r="531" spans="2:18" customFormat="1" x14ac:dyDescent="0.25">
      <c r="B531" s="19" t="s">
        <v>1082</v>
      </c>
      <c r="C531" s="3" t="s">
        <v>997</v>
      </c>
      <c r="D531" s="3">
        <v>8</v>
      </c>
      <c r="E531" s="3">
        <v>12.448683525391008</v>
      </c>
      <c r="F531" s="3">
        <v>700</v>
      </c>
      <c r="G531" s="4">
        <v>10.08</v>
      </c>
      <c r="H531" s="7"/>
      <c r="I531" s="7"/>
      <c r="J531" s="38">
        <f t="shared" si="93"/>
        <v>10.371936884899535</v>
      </c>
      <c r="K531" s="37">
        <f t="shared" si="94"/>
        <v>11.294579850388065</v>
      </c>
      <c r="L531" s="37">
        <f t="shared" si="95"/>
        <v>5.3831881335338672</v>
      </c>
      <c r="M531" s="39">
        <f t="shared" si="96"/>
        <v>18.877117792086345</v>
      </c>
      <c r="N531" s="117"/>
      <c r="O531" s="38">
        <f t="shared" si="97"/>
        <v>1.2964921106124419</v>
      </c>
      <c r="P531" s="37">
        <f t="shared" si="98"/>
        <v>1.4118224812985081</v>
      </c>
      <c r="Q531" s="37">
        <f t="shared" si="99"/>
        <v>0.67289851669173339</v>
      </c>
      <c r="R531" s="39">
        <f t="shared" si="100"/>
        <v>2.3596397240107931</v>
      </c>
    </row>
    <row r="532" spans="2:18" customFormat="1" x14ac:dyDescent="0.25">
      <c r="B532" s="19" t="s">
        <v>1082</v>
      </c>
      <c r="C532" s="3" t="s">
        <v>998</v>
      </c>
      <c r="D532" s="3">
        <v>11</v>
      </c>
      <c r="E532" s="3">
        <v>16.716363335311385</v>
      </c>
      <c r="F532" s="3">
        <v>210</v>
      </c>
      <c r="G532" s="4">
        <v>16.649999999999999</v>
      </c>
      <c r="H532" s="7"/>
      <c r="I532" s="7"/>
      <c r="J532" s="38">
        <f t="shared" si="93"/>
        <v>15.91648496536007</v>
      </c>
      <c r="K532" s="37">
        <f t="shared" si="94"/>
        <v>17.318355696717759</v>
      </c>
      <c r="L532" s="37">
        <f t="shared" si="95"/>
        <v>5.9108101187420949</v>
      </c>
      <c r="M532" s="39">
        <f t="shared" si="96"/>
        <v>33.457678312042425</v>
      </c>
      <c r="N532" s="117"/>
      <c r="O532" s="38">
        <f t="shared" si="97"/>
        <v>1.4469531786690972</v>
      </c>
      <c r="P532" s="37">
        <f t="shared" si="98"/>
        <v>1.5743959724288872</v>
      </c>
      <c r="Q532" s="37">
        <f t="shared" si="99"/>
        <v>0.53734637443109956</v>
      </c>
      <c r="R532" s="39">
        <f t="shared" si="100"/>
        <v>3.0416071192765841</v>
      </c>
    </row>
    <row r="533" spans="2:18" customFormat="1" x14ac:dyDescent="0.25">
      <c r="B533" s="19" t="s">
        <v>1082</v>
      </c>
      <c r="C533" s="3" t="s">
        <v>999</v>
      </c>
      <c r="D533" s="3">
        <v>12.333333333333334</v>
      </c>
      <c r="E533" s="3">
        <v>26.414903714387812</v>
      </c>
      <c r="F533" s="3">
        <v>260</v>
      </c>
      <c r="G533" s="4">
        <v>25.31</v>
      </c>
      <c r="H533" s="7"/>
      <c r="I533" s="7"/>
      <c r="J533" s="38">
        <f t="shared" si="93"/>
        <v>27.372913527763711</v>
      </c>
      <c r="K533" s="37">
        <f t="shared" si="94"/>
        <v>28.433121258151921</v>
      </c>
      <c r="L533" s="37">
        <f t="shared" si="95"/>
        <v>17.449492774330082</v>
      </c>
      <c r="M533" s="39">
        <f t="shared" si="96"/>
        <v>201.38418106740863</v>
      </c>
      <c r="N533" s="117"/>
      <c r="O533" s="38">
        <f t="shared" si="97"/>
        <v>2.2194254211700306</v>
      </c>
      <c r="P533" s="37">
        <f t="shared" si="98"/>
        <v>2.3053882101204257</v>
      </c>
      <c r="Q533" s="37">
        <f t="shared" si="99"/>
        <v>1.4148237384591957</v>
      </c>
      <c r="R533" s="39">
        <f t="shared" si="100"/>
        <v>16.328447113573674</v>
      </c>
    </row>
    <row r="534" spans="2:18" customFormat="1" x14ac:dyDescent="0.25">
      <c r="B534" s="19" t="s">
        <v>1082</v>
      </c>
      <c r="C534" s="3" t="s">
        <v>1000</v>
      </c>
      <c r="D534" s="3">
        <v>12.333333333333334</v>
      </c>
      <c r="E534" s="3">
        <v>20.881346809792735</v>
      </c>
      <c r="F534" s="3">
        <v>290</v>
      </c>
      <c r="G534" s="4">
        <v>19.420000000000002</v>
      </c>
      <c r="H534" s="7"/>
      <c r="I534" s="7"/>
      <c r="J534" s="38">
        <f t="shared" si="93"/>
        <v>20.401875856423128</v>
      </c>
      <c r="K534" s="37">
        <f t="shared" si="94"/>
        <v>22.476775698143808</v>
      </c>
      <c r="L534" s="37">
        <f t="shared" si="95"/>
        <v>10.555082251356374</v>
      </c>
      <c r="M534" s="39">
        <f t="shared" si="96"/>
        <v>82.857232241816504</v>
      </c>
      <c r="N534" s="117"/>
      <c r="O534" s="38">
        <f t="shared" si="97"/>
        <v>1.6542061505207941</v>
      </c>
      <c r="P534" s="37">
        <f t="shared" si="98"/>
        <v>1.8224412728224708</v>
      </c>
      <c r="Q534" s="37">
        <f t="shared" si="99"/>
        <v>0.85581747983970602</v>
      </c>
      <c r="R534" s="39">
        <f t="shared" si="100"/>
        <v>6.7181539655526894</v>
      </c>
    </row>
    <row r="535" spans="2:18" customFormat="1" x14ac:dyDescent="0.25">
      <c r="B535" s="19" t="s">
        <v>1082</v>
      </c>
      <c r="C535" s="3" t="s">
        <v>1001</v>
      </c>
      <c r="D535" s="3">
        <v>12.333333333333334</v>
      </c>
      <c r="E535" s="3">
        <v>19.34656781927297</v>
      </c>
      <c r="F535" s="3">
        <v>320</v>
      </c>
      <c r="G535" s="4">
        <v>17.62</v>
      </c>
      <c r="H535" s="7"/>
      <c r="I535" s="7"/>
      <c r="J535" s="38">
        <f t="shared" ref="J535:J551" si="101">EXP(2.293225 -4.118555/D535+ 0.052407*E535-0.000131*F535)</f>
        <v>18.751311334534943</v>
      </c>
      <c r="K535" s="37">
        <f t="shared" ref="K535:K551" si="102">EXP(LN(E535) -3.891677 * (1/D535- 0.1))</f>
        <v>20.82473268433024</v>
      </c>
      <c r="L535" s="37">
        <f t="shared" ref="L535:L551" si="103">EXP(0.613447 -7.899548/D535+ 0.09739*E535+ 0.001207*F535)</f>
        <v>9.4248078704401088</v>
      </c>
      <c r="M535" s="39">
        <f t="shared" ref="M535:M551" si="104">EXP(1.605596 -12.336335/D535+ 0.166684*E535+ 0.001142*F535)</f>
        <v>66.39062999617208</v>
      </c>
      <c r="N535" s="117"/>
      <c r="O535" s="38">
        <f t="shared" si="97"/>
        <v>1.5203765946920222</v>
      </c>
      <c r="P535" s="37">
        <f t="shared" si="98"/>
        <v>1.6884918392700194</v>
      </c>
      <c r="Q535" s="37">
        <f t="shared" si="99"/>
        <v>0.76417361111676552</v>
      </c>
      <c r="R535" s="39">
        <f t="shared" si="100"/>
        <v>5.3830240537436822</v>
      </c>
    </row>
    <row r="536" spans="2:18" customFormat="1" x14ac:dyDescent="0.25">
      <c r="B536" s="19" t="s">
        <v>1082</v>
      </c>
      <c r="C536" s="3" t="s">
        <v>1002</v>
      </c>
      <c r="D536" s="3">
        <v>10</v>
      </c>
      <c r="E536" s="3">
        <v>21.274268248656696</v>
      </c>
      <c r="F536" s="3">
        <v>490</v>
      </c>
      <c r="G536" s="4">
        <v>14.14</v>
      </c>
      <c r="H536" s="7"/>
      <c r="I536" s="7"/>
      <c r="J536" s="38">
        <f t="shared" si="101"/>
        <v>18.767001272369164</v>
      </c>
      <c r="K536" s="37">
        <f t="shared" si="102"/>
        <v>21.274268248656696</v>
      </c>
      <c r="L536" s="37">
        <f t="shared" si="103"/>
        <v>12.023020472107381</v>
      </c>
      <c r="M536" s="39">
        <f t="shared" si="104"/>
        <v>88.025155251411817</v>
      </c>
      <c r="N536" s="117"/>
      <c r="O536" s="38">
        <f t="shared" si="97"/>
        <v>1.8767001272369164</v>
      </c>
      <c r="P536" s="37">
        <f t="shared" si="98"/>
        <v>2.1274268248656698</v>
      </c>
      <c r="Q536" s="37">
        <f t="shared" si="99"/>
        <v>1.2023020472107382</v>
      </c>
      <c r="R536" s="39">
        <f t="shared" si="100"/>
        <v>8.8025155251411817</v>
      </c>
    </row>
    <row r="537" spans="2:18" customFormat="1" x14ac:dyDescent="0.25">
      <c r="B537" s="19" t="s">
        <v>1082</v>
      </c>
      <c r="C537" s="3" t="s">
        <v>1003</v>
      </c>
      <c r="D537" s="3">
        <v>10</v>
      </c>
      <c r="E537" s="3">
        <v>14.351421317239623</v>
      </c>
      <c r="F537" s="3">
        <v>290</v>
      </c>
      <c r="G537" s="4">
        <v>11.37</v>
      </c>
      <c r="H537" s="7"/>
      <c r="I537" s="7"/>
      <c r="J537" s="38">
        <f t="shared" si="101"/>
        <v>13.403212767293519</v>
      </c>
      <c r="K537" s="37">
        <f t="shared" si="102"/>
        <v>14.351421317239623</v>
      </c>
      <c r="L537" s="37">
        <f t="shared" si="103"/>
        <v>4.8124539083675328</v>
      </c>
      <c r="M537" s="39">
        <f t="shared" si="104"/>
        <v>22.093751054886503</v>
      </c>
      <c r="N537" s="117"/>
      <c r="O537" s="38">
        <f t="shared" si="97"/>
        <v>1.340321276729352</v>
      </c>
      <c r="P537" s="37">
        <f t="shared" si="98"/>
        <v>1.4351421317239623</v>
      </c>
      <c r="Q537" s="37">
        <f t="shared" si="99"/>
        <v>0.48124539083675327</v>
      </c>
      <c r="R537" s="39">
        <f t="shared" si="100"/>
        <v>2.2093751054886503</v>
      </c>
    </row>
    <row r="538" spans="2:18" customFormat="1" x14ac:dyDescent="0.25">
      <c r="B538" s="19" t="s">
        <v>1082</v>
      </c>
      <c r="C538" s="3" t="s">
        <v>1004</v>
      </c>
      <c r="D538" s="3">
        <v>11.333333333333334</v>
      </c>
      <c r="E538" s="3">
        <v>17.251861604174579</v>
      </c>
      <c r="F538" s="3">
        <v>440</v>
      </c>
      <c r="G538" s="4">
        <v>14.35</v>
      </c>
      <c r="H538" s="7"/>
      <c r="I538" s="7"/>
      <c r="J538" s="38">
        <f t="shared" si="101"/>
        <v>16.059513241731551</v>
      </c>
      <c r="K538" s="37">
        <f t="shared" si="102"/>
        <v>18.06008928962622</v>
      </c>
      <c r="L538" s="37">
        <f t="shared" si="103"/>
        <v>8.3952566384395997</v>
      </c>
      <c r="M538" s="39">
        <f t="shared" si="104"/>
        <v>49.165155574987466</v>
      </c>
      <c r="N538" s="117"/>
      <c r="O538" s="38">
        <f t="shared" si="97"/>
        <v>1.4170158742704309</v>
      </c>
      <c r="P538" s="37">
        <f t="shared" si="98"/>
        <v>1.5935372902611369</v>
      </c>
      <c r="Q538" s="37">
        <f t="shared" si="99"/>
        <v>0.74075793868584694</v>
      </c>
      <c r="R538" s="39">
        <f t="shared" si="100"/>
        <v>4.3381019624988939</v>
      </c>
    </row>
    <row r="539" spans="2:18" customFormat="1" x14ac:dyDescent="0.25">
      <c r="B539" s="19" t="s">
        <v>1082</v>
      </c>
      <c r="C539" s="3" t="s">
        <v>1005</v>
      </c>
      <c r="D539" s="3">
        <v>11.333333333333334</v>
      </c>
      <c r="E539" s="3">
        <v>24.079605213542994</v>
      </c>
      <c r="F539" s="3">
        <v>220</v>
      </c>
      <c r="G539" s="4">
        <v>20.170000000000002</v>
      </c>
      <c r="H539" s="7"/>
      <c r="I539" s="7"/>
      <c r="J539" s="38">
        <f t="shared" si="101"/>
        <v>23.640065391251031</v>
      </c>
      <c r="K539" s="37">
        <f t="shared" si="102"/>
        <v>25.207703968034615</v>
      </c>
      <c r="L539" s="37">
        <f t="shared" si="103"/>
        <v>12.51691351064007</v>
      </c>
      <c r="M539" s="39">
        <f t="shared" si="104"/>
        <v>119.34527569184881</v>
      </c>
      <c r="N539" s="117"/>
      <c r="O539" s="38">
        <f t="shared" si="97"/>
        <v>2.085888122757444</v>
      </c>
      <c r="P539" s="37">
        <f t="shared" si="98"/>
        <v>2.2242091736501131</v>
      </c>
      <c r="Q539" s="37">
        <f t="shared" si="99"/>
        <v>1.1044335450564766</v>
      </c>
      <c r="R539" s="39">
        <f t="shared" si="100"/>
        <v>10.530465502221954</v>
      </c>
    </row>
    <row r="540" spans="2:18" customFormat="1" x14ac:dyDescent="0.25">
      <c r="B540" s="19" t="s">
        <v>1082</v>
      </c>
      <c r="C540" s="3" t="s">
        <v>1006</v>
      </c>
      <c r="D540" s="3">
        <v>11.333333333333334</v>
      </c>
      <c r="E540" s="3">
        <v>19.688807829530912</v>
      </c>
      <c r="F540" s="3">
        <v>320</v>
      </c>
      <c r="G540" s="4">
        <v>16.28</v>
      </c>
      <c r="H540" s="7"/>
      <c r="I540" s="7"/>
      <c r="J540" s="38">
        <f t="shared" si="101"/>
        <v>18.53636429209644</v>
      </c>
      <c r="K540" s="37">
        <f t="shared" si="102"/>
        <v>20.611203333649343</v>
      </c>
      <c r="L540" s="37">
        <f t="shared" si="103"/>
        <v>9.2088138567020206</v>
      </c>
      <c r="M540" s="39">
        <f t="shared" si="104"/>
        <v>64.350525301269414</v>
      </c>
      <c r="N540" s="117"/>
      <c r="O540" s="38">
        <f t="shared" si="97"/>
        <v>1.63556155518498</v>
      </c>
      <c r="P540" s="37">
        <f t="shared" si="98"/>
        <v>1.8186355882631773</v>
      </c>
      <c r="Q540" s="37">
        <f t="shared" si="99"/>
        <v>0.81254239912076653</v>
      </c>
      <c r="R540" s="39">
        <f t="shared" si="100"/>
        <v>5.6779875265825952</v>
      </c>
    </row>
    <row r="541" spans="2:18" customFormat="1" x14ac:dyDescent="0.25">
      <c r="B541" s="19" t="s">
        <v>1082</v>
      </c>
      <c r="C541" s="3" t="s">
        <v>1007</v>
      </c>
      <c r="D541" s="3">
        <v>13.333333333333334</v>
      </c>
      <c r="E541" s="3">
        <v>22.452669525035517</v>
      </c>
      <c r="F541" s="3">
        <v>1000</v>
      </c>
      <c r="G541" s="4">
        <v>16.91</v>
      </c>
      <c r="H541" s="7"/>
      <c r="I541" s="7"/>
      <c r="J541" s="38">
        <f t="shared" si="101"/>
        <v>20.697448396389049</v>
      </c>
      <c r="K541" s="37">
        <f t="shared" si="102"/>
        <v>24.746930024825577</v>
      </c>
      <c r="L541" s="37">
        <f t="shared" si="103"/>
        <v>30.406195440804996</v>
      </c>
      <c r="M541" s="39">
        <f t="shared" si="104"/>
        <v>261.09168838088527</v>
      </c>
      <c r="N541" s="117"/>
      <c r="O541" s="38">
        <f t="shared" si="97"/>
        <v>1.5523086297291786</v>
      </c>
      <c r="P541" s="37">
        <f t="shared" si="98"/>
        <v>1.8560197518619181</v>
      </c>
      <c r="Q541" s="37">
        <f t="shared" si="99"/>
        <v>2.2804646580603745</v>
      </c>
      <c r="R541" s="39">
        <f t="shared" si="100"/>
        <v>19.581876628566395</v>
      </c>
    </row>
    <row r="542" spans="2:18" customFormat="1" x14ac:dyDescent="0.25">
      <c r="B542" s="19" t="s">
        <v>1082</v>
      </c>
      <c r="C542" s="3" t="s">
        <v>1008</v>
      </c>
      <c r="D542" s="3">
        <v>13.333333333333334</v>
      </c>
      <c r="E542" s="3">
        <v>22.024416972786888</v>
      </c>
      <c r="F542" s="3">
        <v>1000</v>
      </c>
      <c r="G542" s="4">
        <v>16.64</v>
      </c>
      <c r="H542" s="7"/>
      <c r="I542" s="7"/>
      <c r="J542" s="38">
        <f t="shared" si="101"/>
        <v>20.238100582811931</v>
      </c>
      <c r="K542" s="37">
        <f t="shared" si="102"/>
        <v>24.274917735523733</v>
      </c>
      <c r="L542" s="37">
        <f t="shared" si="103"/>
        <v>29.164110736954463</v>
      </c>
      <c r="M542" s="39">
        <f t="shared" si="104"/>
        <v>243.10386832790741</v>
      </c>
      <c r="N542" s="117"/>
      <c r="O542" s="38">
        <f t="shared" si="97"/>
        <v>1.5178575437108948</v>
      </c>
      <c r="P542" s="37">
        <f t="shared" si="98"/>
        <v>1.8206188301642798</v>
      </c>
      <c r="Q542" s="37">
        <f t="shared" si="99"/>
        <v>2.1873083052715847</v>
      </c>
      <c r="R542" s="39">
        <f t="shared" si="100"/>
        <v>18.232790124593055</v>
      </c>
    </row>
    <row r="543" spans="2:18" customFormat="1" x14ac:dyDescent="0.25">
      <c r="B543" s="19" t="s">
        <v>1082</v>
      </c>
      <c r="C543" s="3" t="s">
        <v>1009</v>
      </c>
      <c r="D543" s="3">
        <v>10.166666666666666</v>
      </c>
      <c r="E543" s="3">
        <v>24.567218391535665</v>
      </c>
      <c r="F543" s="3">
        <v>200</v>
      </c>
      <c r="G543" s="4">
        <v>24.77</v>
      </c>
      <c r="H543" s="7"/>
      <c r="I543" s="7"/>
      <c r="J543" s="38">
        <f t="shared" si="101"/>
        <v>23.322427324880955</v>
      </c>
      <c r="K543" s="37">
        <f t="shared" si="102"/>
        <v>24.724453321417755</v>
      </c>
      <c r="L543" s="37">
        <f t="shared" si="103"/>
        <v>11.827693373127772</v>
      </c>
      <c r="M543" s="39">
        <f t="shared" si="104"/>
        <v>111.67001528952571</v>
      </c>
      <c r="N543" s="117"/>
      <c r="O543" s="38">
        <f t="shared" si="97"/>
        <v>2.2940092450702578</v>
      </c>
      <c r="P543" s="37">
        <f t="shared" si="98"/>
        <v>2.4319134414509267</v>
      </c>
      <c r="Q543" s="37">
        <f t="shared" si="99"/>
        <v>1.1633796760453547</v>
      </c>
      <c r="R543" s="39">
        <f t="shared" si="100"/>
        <v>10.983935930117283</v>
      </c>
    </row>
    <row r="544" spans="2:18" customFormat="1" x14ac:dyDescent="0.25">
      <c r="B544" s="19" t="s">
        <v>1082</v>
      </c>
      <c r="C544" s="3" t="s">
        <v>1010</v>
      </c>
      <c r="D544" s="3">
        <v>10.166666666666666</v>
      </c>
      <c r="E544" s="3">
        <v>23.673864995479821</v>
      </c>
      <c r="F544" s="3">
        <v>380</v>
      </c>
      <c r="G544" s="4">
        <v>19.3</v>
      </c>
      <c r="H544" s="7"/>
      <c r="I544" s="7"/>
      <c r="J544" s="38">
        <f t="shared" si="101"/>
        <v>21.737034662621227</v>
      </c>
      <c r="K544" s="37">
        <f t="shared" si="102"/>
        <v>23.825382291548017</v>
      </c>
      <c r="L544" s="37">
        <f t="shared" si="103"/>
        <v>13.473165824341217</v>
      </c>
      <c r="M544" s="39">
        <f t="shared" si="104"/>
        <v>118.17901048170611</v>
      </c>
      <c r="N544" s="117"/>
      <c r="O544" s="38">
        <f t="shared" si="97"/>
        <v>2.1380689832086452</v>
      </c>
      <c r="P544" s="37">
        <f t="shared" si="98"/>
        <v>2.3434802253981659</v>
      </c>
      <c r="Q544" s="37">
        <f t="shared" si="99"/>
        <v>1.3252294253450378</v>
      </c>
      <c r="R544" s="39">
        <f t="shared" si="100"/>
        <v>11.624164965413717</v>
      </c>
    </row>
    <row r="545" spans="2:18" customFormat="1" x14ac:dyDescent="0.25">
      <c r="B545" s="19" t="s">
        <v>1082</v>
      </c>
      <c r="C545" s="3" t="s">
        <v>1011</v>
      </c>
      <c r="D545" s="3">
        <v>9.1666666666666661</v>
      </c>
      <c r="E545" s="3">
        <v>25.440187742279463</v>
      </c>
      <c r="F545" s="3">
        <v>300</v>
      </c>
      <c r="G545" s="4">
        <v>26.68</v>
      </c>
      <c r="H545" s="7"/>
      <c r="I545" s="7"/>
      <c r="J545" s="38">
        <f t="shared" si="101"/>
        <v>23.054754333224615</v>
      </c>
      <c r="K545" s="37">
        <f t="shared" si="102"/>
        <v>24.555877536288094</v>
      </c>
      <c r="L545" s="37">
        <f t="shared" si="103"/>
        <v>13.348419809266407</v>
      </c>
      <c r="M545" s="39">
        <f t="shared" si="104"/>
        <v>126.83490163725682</v>
      </c>
      <c r="N545" s="117"/>
      <c r="O545" s="38">
        <f t="shared" si="97"/>
        <v>2.5150641090790491</v>
      </c>
      <c r="P545" s="37">
        <f t="shared" si="98"/>
        <v>2.6788230039587013</v>
      </c>
      <c r="Q545" s="37">
        <f t="shared" si="99"/>
        <v>1.4561912519199718</v>
      </c>
      <c r="R545" s="39">
        <f t="shared" si="100"/>
        <v>13.836534724064382</v>
      </c>
    </row>
    <row r="546" spans="2:18" customFormat="1" x14ac:dyDescent="0.25">
      <c r="B546" s="19" t="s">
        <v>1082</v>
      </c>
      <c r="C546" s="3" t="s">
        <v>1012</v>
      </c>
      <c r="D546" s="3">
        <v>11.666666666666666</v>
      </c>
      <c r="E546" s="3">
        <v>25.619832709121908</v>
      </c>
      <c r="F546" s="3">
        <v>400</v>
      </c>
      <c r="G546" s="4">
        <v>22.12</v>
      </c>
      <c r="H546" s="7"/>
      <c r="I546" s="7"/>
      <c r="J546" s="38">
        <f t="shared" si="101"/>
        <v>25.291403940104907</v>
      </c>
      <c r="K546" s="37">
        <f t="shared" si="102"/>
        <v>27.084514731965772</v>
      </c>
      <c r="L546" s="37">
        <f t="shared" si="103"/>
        <v>18.435135711034377</v>
      </c>
      <c r="M546" s="39">
        <f t="shared" si="104"/>
        <v>195.47100422290276</v>
      </c>
      <c r="N546" s="117"/>
      <c r="O546" s="38">
        <f t="shared" si="97"/>
        <v>2.1678346234375634</v>
      </c>
      <c r="P546" s="37">
        <f t="shared" si="98"/>
        <v>2.3215298341684947</v>
      </c>
      <c r="Q546" s="37">
        <f t="shared" si="99"/>
        <v>1.5801544895172324</v>
      </c>
      <c r="R546" s="39">
        <f t="shared" si="100"/>
        <v>16.754657504820237</v>
      </c>
    </row>
    <row r="547" spans="2:18" customFormat="1" x14ac:dyDescent="0.25">
      <c r="B547" s="19" t="s">
        <v>1082</v>
      </c>
      <c r="C547" s="3" t="s">
        <v>1013</v>
      </c>
      <c r="D547" s="3">
        <v>10.166666666666666</v>
      </c>
      <c r="E547" s="3">
        <v>24.3438800425217</v>
      </c>
      <c r="F547" s="3">
        <v>220</v>
      </c>
      <c r="G547" s="4">
        <v>23.07</v>
      </c>
      <c r="H547" s="7"/>
      <c r="I547" s="7"/>
      <c r="J547" s="38">
        <f t="shared" si="101"/>
        <v>22.990726774161612</v>
      </c>
      <c r="K547" s="37">
        <f t="shared" si="102"/>
        <v>24.499685563950319</v>
      </c>
      <c r="L547" s="37">
        <f t="shared" si="103"/>
        <v>11.855984438725459</v>
      </c>
      <c r="M547" s="39">
        <f t="shared" si="104"/>
        <v>110.07492838147139</v>
      </c>
      <c r="N547" s="117"/>
      <c r="O547" s="38">
        <f t="shared" si="97"/>
        <v>2.2613829613929455</v>
      </c>
      <c r="P547" s="37">
        <f t="shared" si="98"/>
        <v>2.4098051374377363</v>
      </c>
      <c r="Q547" s="37">
        <f t="shared" si="99"/>
        <v>1.1661624038090617</v>
      </c>
      <c r="R547" s="39">
        <f t="shared" si="100"/>
        <v>10.827042135882433</v>
      </c>
    </row>
    <row r="548" spans="2:18" customFormat="1" x14ac:dyDescent="0.25">
      <c r="B548" s="19" t="s">
        <v>1082</v>
      </c>
      <c r="C548" s="3" t="s">
        <v>1014</v>
      </c>
      <c r="D548" s="3">
        <v>13.833333333333334</v>
      </c>
      <c r="E548" s="3">
        <v>18.988409992323067</v>
      </c>
      <c r="F548" s="3">
        <v>620</v>
      </c>
      <c r="G548" s="4">
        <v>21.08</v>
      </c>
      <c r="H548" s="7"/>
      <c r="I548" s="7"/>
      <c r="J548" s="38">
        <f t="shared" si="101"/>
        <v>18.345856313045633</v>
      </c>
      <c r="K548" s="37">
        <f t="shared" si="102"/>
        <v>21.150645908684574</v>
      </c>
      <c r="L548" s="37">
        <f t="shared" si="103"/>
        <v>14.013436039687269</v>
      </c>
      <c r="M548" s="39">
        <f t="shared" si="104"/>
        <v>98.191227477634882</v>
      </c>
      <c r="N548" s="117"/>
      <c r="O548" s="38">
        <f t="shared" si="97"/>
        <v>1.32620648046113</v>
      </c>
      <c r="P548" s="37">
        <f t="shared" si="98"/>
        <v>1.528962354844668</v>
      </c>
      <c r="Q548" s="37">
        <f t="shared" si="99"/>
        <v>1.0130194727484771</v>
      </c>
      <c r="R548" s="39">
        <f t="shared" si="100"/>
        <v>7.0981610224796299</v>
      </c>
    </row>
    <row r="549" spans="2:18" customFormat="1" x14ac:dyDescent="0.25">
      <c r="B549" s="19" t="s">
        <v>1082</v>
      </c>
      <c r="C549" s="3" t="s">
        <v>1015</v>
      </c>
      <c r="D549" s="3">
        <v>10.916666666666666</v>
      </c>
      <c r="E549" s="3">
        <v>21.754146486898687</v>
      </c>
      <c r="F549" s="3">
        <v>640</v>
      </c>
      <c r="G549" s="4">
        <v>20.98</v>
      </c>
      <c r="H549" s="7"/>
      <c r="I549" s="7"/>
      <c r="J549" s="38">
        <f t="shared" si="101"/>
        <v>19.534504065221899</v>
      </c>
      <c r="K549" s="37">
        <f t="shared" si="102"/>
        <v>22.476775727737333</v>
      </c>
      <c r="L549" s="37">
        <f t="shared" si="103"/>
        <v>16.134189773854999</v>
      </c>
      <c r="M549" s="39">
        <f t="shared" si="104"/>
        <v>125.52415357560005</v>
      </c>
      <c r="N549" s="117"/>
      <c r="O549" s="38">
        <f t="shared" si="97"/>
        <v>1.7894202197149833</v>
      </c>
      <c r="P549" s="37">
        <f t="shared" si="98"/>
        <v>2.0589412880370079</v>
      </c>
      <c r="Q549" s="37">
        <f t="shared" si="99"/>
        <v>1.4779410479867174</v>
      </c>
      <c r="R549" s="39">
        <f t="shared" si="100"/>
        <v>11.498395747383212</v>
      </c>
    </row>
    <row r="550" spans="2:18" customFormat="1" x14ac:dyDescent="0.25">
      <c r="B550" s="19" t="s">
        <v>1082</v>
      </c>
      <c r="C550" s="3" t="s">
        <v>1016</v>
      </c>
      <c r="D550" s="3">
        <v>10.916666666666666</v>
      </c>
      <c r="E550" s="3">
        <v>26.6488294464509</v>
      </c>
      <c r="F550" s="3">
        <v>640</v>
      </c>
      <c r="G550" s="4">
        <v>22.22</v>
      </c>
      <c r="H550" s="7"/>
      <c r="I550" s="7"/>
      <c r="J550" s="38">
        <f t="shared" si="101"/>
        <v>25.246764049664396</v>
      </c>
      <c r="K550" s="37">
        <f t="shared" si="102"/>
        <v>27.534050266478243</v>
      </c>
      <c r="L550" s="37">
        <f t="shared" si="103"/>
        <v>25.987971132917703</v>
      </c>
      <c r="M550" s="39">
        <f t="shared" si="104"/>
        <v>283.82661275589163</v>
      </c>
      <c r="N550" s="117"/>
      <c r="O550" s="38">
        <f t="shared" si="97"/>
        <v>2.3126806763051357</v>
      </c>
      <c r="P550" s="37">
        <f t="shared" si="98"/>
        <v>2.5222030778453353</v>
      </c>
      <c r="Q550" s="37">
        <f t="shared" si="99"/>
        <v>2.3805775083588738</v>
      </c>
      <c r="R550" s="39">
        <f t="shared" si="100"/>
        <v>25.999384374585496</v>
      </c>
    </row>
    <row r="551" spans="2:18" customFormat="1" x14ac:dyDescent="0.25">
      <c r="B551" s="19" t="s">
        <v>1082</v>
      </c>
      <c r="C551" s="3" t="s">
        <v>1017</v>
      </c>
      <c r="D551" s="3">
        <v>13</v>
      </c>
      <c r="E551" s="3">
        <v>22.087135064170514</v>
      </c>
      <c r="F551" s="3">
        <v>660</v>
      </c>
      <c r="G551" s="4">
        <v>22.13</v>
      </c>
      <c r="H551" s="7"/>
      <c r="I551" s="7"/>
      <c r="J551" s="38">
        <f t="shared" si="101"/>
        <v>21.062065192733566</v>
      </c>
      <c r="K551" s="37">
        <f t="shared" si="102"/>
        <v>24.162533862932918</v>
      </c>
      <c r="L551" s="37">
        <f t="shared" si="103"/>
        <v>19.172472866735816</v>
      </c>
      <c r="M551" s="39">
        <f t="shared" si="104"/>
        <v>162.70506991794306</v>
      </c>
      <c r="N551" s="117"/>
      <c r="O551" s="38">
        <f t="shared" si="97"/>
        <v>1.620158860979505</v>
      </c>
      <c r="P551" s="37">
        <f t="shared" si="98"/>
        <v>1.8586564509948398</v>
      </c>
      <c r="Q551" s="37">
        <f t="shared" si="99"/>
        <v>1.4748056051335243</v>
      </c>
      <c r="R551" s="39">
        <f t="shared" si="100"/>
        <v>12.515774609072544</v>
      </c>
    </row>
    <row r="552" spans="2:18" customFormat="1" x14ac:dyDescent="0.25">
      <c r="B552" s="19" t="s">
        <v>1185</v>
      </c>
      <c r="C552" s="3" t="s">
        <v>55</v>
      </c>
      <c r="D552" s="3">
        <v>6.333333333333333</v>
      </c>
      <c r="E552" s="3">
        <v>10.9279008871132</v>
      </c>
      <c r="F552" s="3">
        <v>760</v>
      </c>
      <c r="G552" s="4">
        <v>12.6</v>
      </c>
      <c r="H552" s="7"/>
      <c r="I552" s="7"/>
      <c r="J552" s="112">
        <f t="shared" ref="J552" si="105">EXP(3.257189 -3.956527/D552 + -0.009321*E552 + 0*F552)</f>
        <v>12.561232012007718</v>
      </c>
      <c r="K552" s="47">
        <f t="shared" ref="K552" si="106">EXP(LN(E552) -1.741207 * (1/D552 - 0.1))</f>
        <v>9.8800000034345565</v>
      </c>
      <c r="L552" s="48">
        <f t="shared" ref="L552" si="107">EXP(3.695791 -7.913055/D552 + -0.018641*E552 + 0*F552)</f>
        <v>9.4182967743306207</v>
      </c>
      <c r="M552" s="113">
        <f t="shared" ref="M552" si="108">EXP(4.588308 -10.377622/D552 + 0.049617*E552 + 0*F552)</f>
        <v>32.849803513188675</v>
      </c>
      <c r="N552" s="117"/>
      <c r="O552" s="38">
        <f t="shared" si="97"/>
        <v>1.983352422948587</v>
      </c>
      <c r="P552" s="37">
        <f t="shared" si="98"/>
        <v>1.5600000005422985</v>
      </c>
      <c r="Q552" s="37">
        <f t="shared" si="99"/>
        <v>1.4870994906837822</v>
      </c>
      <c r="R552" s="39">
        <f t="shared" si="100"/>
        <v>5.1868110810297914</v>
      </c>
    </row>
    <row r="553" spans="2:18" customFormat="1" x14ac:dyDescent="0.25">
      <c r="B553" s="19" t="s">
        <v>1079</v>
      </c>
      <c r="C553" s="3" t="s">
        <v>1018</v>
      </c>
      <c r="D553" s="3">
        <v>14.416666666666666</v>
      </c>
      <c r="E553" s="3">
        <v>12.910387754177753</v>
      </c>
      <c r="F553" s="3">
        <v>760</v>
      </c>
      <c r="G553" s="4">
        <v>14.41</v>
      </c>
      <c r="H553" s="7"/>
      <c r="I553" s="7"/>
      <c r="J553" s="38">
        <f t="shared" ref="J553:J554" si="109">EXP(2.537212 -5.780087/D553+ 0.00923*E553+ 0.00057*F553)</f>
        <v>14.711713140800379</v>
      </c>
      <c r="K553" s="37">
        <f t="shared" ref="K553:K554" si="110">EXP(LN(E553) -7.206822 * (1/D553- 0.1))</f>
        <v>16.0999999994741</v>
      </c>
      <c r="L553" s="37">
        <f t="shared" ref="L553:L554" si="111">EXP(1.203433 -11.513972/D553+ 0.018414*E553+ 0.00251*F553)</f>
        <v>12.808485266784849</v>
      </c>
      <c r="M553" s="39">
        <f t="shared" ref="M553:M554" si="112">EXP(3.066308 -19.106921/D553+ 0.07381*E553+ 0.002185*F553)</f>
        <v>77.826980135579817</v>
      </c>
      <c r="N553" s="117"/>
      <c r="O553" s="38">
        <f t="shared" si="97"/>
        <v>1.0204656513849975</v>
      </c>
      <c r="P553" s="37">
        <f t="shared" si="98"/>
        <v>1.1167630057438682</v>
      </c>
      <c r="Q553" s="37">
        <f t="shared" si="99"/>
        <v>0.88844984509490288</v>
      </c>
      <c r="R553" s="39">
        <f t="shared" si="100"/>
        <v>5.3984032463986003</v>
      </c>
    </row>
    <row r="554" spans="2:18" customFormat="1" x14ac:dyDescent="0.25">
      <c r="B554" s="19" t="s">
        <v>1079</v>
      </c>
      <c r="C554" s="3" t="s">
        <v>1019</v>
      </c>
      <c r="D554" s="3">
        <v>13.416666666666666</v>
      </c>
      <c r="E554" s="3">
        <v>14.365994494348328</v>
      </c>
      <c r="F554" s="3">
        <v>580</v>
      </c>
      <c r="G554" s="4">
        <v>13.05</v>
      </c>
      <c r="H554" s="7"/>
      <c r="I554" s="7"/>
      <c r="J554" s="38">
        <f t="shared" si="109"/>
        <v>13.06054941240545</v>
      </c>
      <c r="K554" s="37">
        <f t="shared" si="110"/>
        <v>17.259999999531352</v>
      </c>
      <c r="L554" s="37">
        <f t="shared" si="111"/>
        <v>7.8899056307513646</v>
      </c>
      <c r="M554" s="39">
        <f t="shared" si="112"/>
        <v>52.976250970115728</v>
      </c>
      <c r="N554" s="117"/>
      <c r="O554" s="38">
        <f t="shared" si="97"/>
        <v>0.97345709906127587</v>
      </c>
      <c r="P554" s="37">
        <f t="shared" si="98"/>
        <v>1.2864596272942623</v>
      </c>
      <c r="Q554" s="37">
        <f t="shared" si="99"/>
        <v>0.58806750042867317</v>
      </c>
      <c r="R554" s="39">
        <f t="shared" si="100"/>
        <v>3.9485404449775698</v>
      </c>
    </row>
    <row r="555" spans="2:18" customFormat="1" x14ac:dyDescent="0.25">
      <c r="B555" s="19" t="s">
        <v>1080</v>
      </c>
      <c r="C555" s="3" t="s">
        <v>1020</v>
      </c>
      <c r="D555" s="3">
        <v>13.666666666666666</v>
      </c>
      <c r="E555" s="3">
        <v>12.804600584135621</v>
      </c>
      <c r="F555" s="3">
        <v>680</v>
      </c>
      <c r="G555" s="4">
        <v>16.54</v>
      </c>
      <c r="H555" s="7"/>
      <c r="I555" s="7"/>
      <c r="J555" s="38">
        <f t="shared" ref="J555:J556" si="113">EXP(2.769514 -7.431654/D555+ 0.050203*E555 -0.000043*F555)</f>
        <v>17.104195805438994</v>
      </c>
      <c r="K555" s="37">
        <f t="shared" ref="K555:K556" si="114">EXP(LN(E555) -8.904588 * (1/D555 - 0.1))</f>
        <v>16.260000054522767</v>
      </c>
      <c r="L555" s="37">
        <f t="shared" ref="L555:L556" si="115">EXP(1.651327 -15.314681/D555 + 0.099127*E555 + 0.001388*F555)</f>
        <v>15.54691501258573</v>
      </c>
      <c r="M555" s="39">
        <f t="shared" ref="M555:M556" si="116">EXP(1.140516 -32.901795/D555+ 0.275811 *E555+ 0.003415*F555)</f>
        <v>98.191266648926927</v>
      </c>
      <c r="N555" s="111"/>
      <c r="O555" s="38">
        <f t="shared" si="97"/>
        <v>1.2515265223491947</v>
      </c>
      <c r="P555" s="37">
        <f t="shared" si="98"/>
        <v>1.1897561015504463</v>
      </c>
      <c r="Q555" s="37">
        <f t="shared" si="99"/>
        <v>1.1375791472623706</v>
      </c>
      <c r="R555" s="39">
        <f t="shared" si="100"/>
        <v>7.1847268279702634</v>
      </c>
    </row>
    <row r="556" spans="2:18" customFormat="1" ht="15.75" thickBot="1" x14ac:dyDescent="0.3">
      <c r="B556" s="30" t="s">
        <v>1080</v>
      </c>
      <c r="C556" s="28" t="s">
        <v>1021</v>
      </c>
      <c r="D556" s="28">
        <v>13.666666666666666</v>
      </c>
      <c r="E556" s="28">
        <v>14.615829449050249</v>
      </c>
      <c r="F556" s="28">
        <v>500</v>
      </c>
      <c r="G556" s="29">
        <v>18.920000000000002</v>
      </c>
      <c r="H556" s="7"/>
      <c r="I556" s="7"/>
      <c r="J556" s="121">
        <f t="shared" si="113"/>
        <v>18.877918861630025</v>
      </c>
      <c r="K556" s="26">
        <f t="shared" si="114"/>
        <v>18.560000062235083</v>
      </c>
      <c r="L556" s="26">
        <f t="shared" si="115"/>
        <v>14.491523773590746</v>
      </c>
      <c r="M556" s="122">
        <f t="shared" si="116"/>
        <v>87.511842016510926</v>
      </c>
      <c r="N556" s="111"/>
      <c r="O556" s="121">
        <f t="shared" si="97"/>
        <v>1.3813111362168311</v>
      </c>
      <c r="P556" s="26">
        <f t="shared" si="98"/>
        <v>1.3580487850415914</v>
      </c>
      <c r="Q556" s="26">
        <f t="shared" si="99"/>
        <v>1.0603553980676157</v>
      </c>
      <c r="R556" s="122">
        <f t="shared" si="100"/>
        <v>6.4033055134032386</v>
      </c>
    </row>
    <row r="559" spans="2:18" customFormat="1" ht="15.75" thickBot="1" x14ac:dyDescent="0.3">
      <c r="B559" s="137" t="s">
        <v>1242</v>
      </c>
      <c r="C559" s="137"/>
      <c r="D559" s="7"/>
      <c r="E559" s="7"/>
      <c r="O559" s="7"/>
      <c r="P559" s="7"/>
      <c r="Q559" s="7"/>
      <c r="R559" s="7"/>
    </row>
    <row r="560" spans="2:18" customFormat="1" ht="19.5" thickBot="1" x14ac:dyDescent="0.35">
      <c r="B560" s="105" t="s">
        <v>1243</v>
      </c>
      <c r="C560" s="106" t="s">
        <v>1244</v>
      </c>
      <c r="D560" s="106" t="s">
        <v>1245</v>
      </c>
      <c r="E560" s="107" t="s">
        <v>1246</v>
      </c>
      <c r="O560" s="7"/>
      <c r="P560" s="7"/>
      <c r="Q560" s="7"/>
      <c r="R560" s="7"/>
    </row>
    <row r="561" spans="2:5" customFormat="1" ht="30.75" thickBot="1" x14ac:dyDescent="0.3">
      <c r="B561" s="108" t="s">
        <v>1312</v>
      </c>
      <c r="C561" s="109" t="s">
        <v>1311</v>
      </c>
      <c r="D561" s="109" t="s">
        <v>1313</v>
      </c>
      <c r="E561" s="110" t="s">
        <v>1314</v>
      </c>
    </row>
  </sheetData>
  <mergeCells count="7">
    <mergeCell ref="H2:T2"/>
    <mergeCell ref="B559:C559"/>
    <mergeCell ref="B4:B5"/>
    <mergeCell ref="T4:X4"/>
    <mergeCell ref="J4:M4"/>
    <mergeCell ref="O4:R4"/>
    <mergeCell ref="C4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C2:N22"/>
  <sheetViews>
    <sheetView topLeftCell="A16" workbookViewId="0">
      <selection activeCell="F6" sqref="F6"/>
    </sheetView>
  </sheetViews>
  <sheetFormatPr baseColWidth="10" defaultRowHeight="15" x14ac:dyDescent="0.25"/>
  <cols>
    <col min="1" max="1" width="11.42578125" style="7"/>
    <col min="2" max="2" width="7.140625" style="7" customWidth="1"/>
    <col min="3" max="3" width="11.42578125" style="7"/>
    <col min="4" max="4" width="16" style="7" customWidth="1"/>
    <col min="5" max="5" width="11.42578125" style="7"/>
    <col min="6" max="6" width="18.28515625" style="7" customWidth="1"/>
    <col min="7" max="10" width="11.42578125" style="7"/>
    <col min="11" max="11" width="14.5703125" style="7" customWidth="1"/>
    <col min="12" max="16384" width="11.42578125" style="7"/>
  </cols>
  <sheetData>
    <row r="2" spans="3:14" ht="15.75" thickBot="1" x14ac:dyDescent="0.3">
      <c r="I2" s="147" t="s">
        <v>1247</v>
      </c>
      <c r="J2" s="147"/>
      <c r="K2" s="147"/>
      <c r="L2" s="147"/>
      <c r="M2" s="147"/>
      <c r="N2" s="147"/>
    </row>
    <row r="3" spans="3:14" ht="48" customHeight="1" thickBot="1" x14ac:dyDescent="0.3">
      <c r="C3" s="74" t="s">
        <v>1251</v>
      </c>
      <c r="J3" s="68" t="s">
        <v>1248</v>
      </c>
      <c r="K3" s="69" t="s">
        <v>1249</v>
      </c>
      <c r="L3" s="70" t="s">
        <v>1250</v>
      </c>
    </row>
    <row r="4" spans="3:14" ht="30.75" thickBot="1" x14ac:dyDescent="0.3">
      <c r="C4" s="75" t="s">
        <v>1248</v>
      </c>
      <c r="D4" s="76" t="s">
        <v>1056</v>
      </c>
      <c r="E4" s="77" t="s">
        <v>1252</v>
      </c>
      <c r="F4" s="77" t="s">
        <v>1253</v>
      </c>
      <c r="J4" s="71">
        <v>1</v>
      </c>
      <c r="K4" s="72">
        <v>17</v>
      </c>
      <c r="L4" s="73">
        <v>0.61</v>
      </c>
    </row>
    <row r="5" spans="3:14" ht="75" x14ac:dyDescent="0.25">
      <c r="C5" s="78">
        <v>1</v>
      </c>
      <c r="D5" s="79" t="s">
        <v>1254</v>
      </c>
      <c r="E5" s="80">
        <v>0.48</v>
      </c>
      <c r="F5" s="81" t="s">
        <v>1255</v>
      </c>
    </row>
    <row r="6" spans="3:14" ht="45" x14ac:dyDescent="0.25">
      <c r="C6" s="82">
        <v>2</v>
      </c>
      <c r="D6" s="83" t="s">
        <v>1206</v>
      </c>
      <c r="E6" s="83">
        <v>0.81</v>
      </c>
      <c r="F6" s="81" t="s">
        <v>1256</v>
      </c>
    </row>
    <row r="7" spans="3:14" ht="45" x14ac:dyDescent="0.25">
      <c r="C7" s="82">
        <v>3</v>
      </c>
      <c r="D7" s="83" t="s">
        <v>1208</v>
      </c>
      <c r="E7" s="83">
        <v>0.44</v>
      </c>
      <c r="F7" s="81" t="s">
        <v>1256</v>
      </c>
    </row>
    <row r="8" spans="3:14" ht="45" x14ac:dyDescent="0.25">
      <c r="C8" s="82">
        <v>4</v>
      </c>
      <c r="D8" s="83" t="s">
        <v>1257</v>
      </c>
      <c r="E8" s="83">
        <v>0.51</v>
      </c>
      <c r="F8" s="81" t="s">
        <v>1256</v>
      </c>
    </row>
    <row r="9" spans="3:14" ht="45" x14ac:dyDescent="0.25">
      <c r="C9" s="82">
        <v>5</v>
      </c>
      <c r="D9" s="83" t="s">
        <v>1258</v>
      </c>
      <c r="E9" s="83">
        <v>0.79</v>
      </c>
      <c r="F9" s="81" t="s">
        <v>1256</v>
      </c>
    </row>
    <row r="10" spans="3:14" ht="45" x14ac:dyDescent="0.25">
      <c r="C10" s="82">
        <v>6</v>
      </c>
      <c r="D10" s="83" t="s">
        <v>1259</v>
      </c>
      <c r="E10" s="83">
        <v>0.55000000000000004</v>
      </c>
      <c r="F10" s="81" t="s">
        <v>1256</v>
      </c>
    </row>
    <row r="11" spans="3:14" ht="45" x14ac:dyDescent="0.25">
      <c r="C11" s="82">
        <v>7</v>
      </c>
      <c r="D11" s="83" t="s">
        <v>1260</v>
      </c>
      <c r="E11" s="83">
        <v>0.45</v>
      </c>
      <c r="F11" s="81" t="s">
        <v>1261</v>
      </c>
    </row>
    <row r="12" spans="3:14" ht="45" x14ac:dyDescent="0.25">
      <c r="C12" s="82">
        <v>8</v>
      </c>
      <c r="D12" s="83" t="s">
        <v>1262</v>
      </c>
      <c r="E12" s="84">
        <v>0.5</v>
      </c>
      <c r="F12" s="81" t="s">
        <v>1256</v>
      </c>
    </row>
    <row r="13" spans="3:14" ht="75" x14ac:dyDescent="0.25">
      <c r="C13" s="85">
        <v>9</v>
      </c>
      <c r="D13" s="83" t="s">
        <v>1263</v>
      </c>
      <c r="E13" s="83">
        <v>0.61</v>
      </c>
      <c r="F13" s="81" t="s">
        <v>1255</v>
      </c>
    </row>
    <row r="14" spans="3:14" ht="75" x14ac:dyDescent="0.25">
      <c r="C14" s="85">
        <v>10</v>
      </c>
      <c r="D14" s="83" t="s">
        <v>1264</v>
      </c>
      <c r="E14" s="83">
        <v>0.76</v>
      </c>
      <c r="F14" s="81" t="s">
        <v>1255</v>
      </c>
    </row>
    <row r="15" spans="3:14" ht="75" x14ac:dyDescent="0.25">
      <c r="C15" s="85">
        <v>11</v>
      </c>
      <c r="D15" s="83" t="s">
        <v>1265</v>
      </c>
      <c r="E15" s="83">
        <v>0.65</v>
      </c>
      <c r="F15" s="81" t="s">
        <v>1255</v>
      </c>
    </row>
    <row r="16" spans="3:14" ht="75" x14ac:dyDescent="0.25">
      <c r="C16" s="85">
        <v>12</v>
      </c>
      <c r="D16" s="83" t="s">
        <v>1266</v>
      </c>
      <c r="E16" s="83">
        <v>0.77</v>
      </c>
      <c r="F16" s="81" t="s">
        <v>1255</v>
      </c>
    </row>
    <row r="17" spans="3:6" ht="75" x14ac:dyDescent="0.25">
      <c r="C17" s="85">
        <v>13</v>
      </c>
      <c r="D17" s="83" t="s">
        <v>1267</v>
      </c>
      <c r="E17" s="83">
        <v>0.56000000000000005</v>
      </c>
      <c r="F17" s="81" t="s">
        <v>1255</v>
      </c>
    </row>
    <row r="18" spans="3:6" ht="75" x14ac:dyDescent="0.25">
      <c r="C18" s="85">
        <v>14</v>
      </c>
      <c r="D18" s="83" t="s">
        <v>1268</v>
      </c>
      <c r="E18" s="83">
        <v>0.65</v>
      </c>
      <c r="F18" s="81" t="s">
        <v>1255</v>
      </c>
    </row>
    <row r="19" spans="3:6" ht="75" x14ac:dyDescent="0.25">
      <c r="C19" s="85">
        <v>15</v>
      </c>
      <c r="D19" s="83" t="s">
        <v>1269</v>
      </c>
      <c r="E19" s="83">
        <v>0.53</v>
      </c>
      <c r="F19" s="81" t="s">
        <v>1255</v>
      </c>
    </row>
    <row r="20" spans="3:6" ht="75" x14ac:dyDescent="0.25">
      <c r="C20" s="85">
        <v>16</v>
      </c>
      <c r="D20" s="83" t="s">
        <v>1270</v>
      </c>
      <c r="E20" s="83">
        <v>0.68</v>
      </c>
      <c r="F20" s="81" t="s">
        <v>1255</v>
      </c>
    </row>
    <row r="21" spans="3:6" ht="75" x14ac:dyDescent="0.25">
      <c r="C21" s="86">
        <v>17</v>
      </c>
      <c r="D21" s="83" t="s">
        <v>1271</v>
      </c>
      <c r="E21" s="83">
        <v>0.63</v>
      </c>
      <c r="F21" s="81" t="s">
        <v>1255</v>
      </c>
    </row>
    <row r="22" spans="3:6" ht="45.75" thickBot="1" x14ac:dyDescent="0.3">
      <c r="C22" s="87"/>
      <c r="D22" s="88" t="s">
        <v>1272</v>
      </c>
      <c r="E22" s="89">
        <f>SUM(E5:E21)/17</f>
        <v>0.6100000000000001</v>
      </c>
      <c r="F22" s="90" t="s">
        <v>1273</v>
      </c>
    </row>
  </sheetData>
  <mergeCells count="1">
    <mergeCell ref="I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C2:M43"/>
  <sheetViews>
    <sheetView workbookViewId="0">
      <selection activeCell="H51" sqref="H51"/>
    </sheetView>
  </sheetViews>
  <sheetFormatPr baseColWidth="10" defaultRowHeight="15" x14ac:dyDescent="0.25"/>
  <cols>
    <col min="1" max="1" width="11.42578125" style="7"/>
    <col min="2" max="2" width="8.28515625" style="7" customWidth="1"/>
    <col min="3" max="3" width="11.42578125" style="7"/>
    <col min="4" max="4" width="14.42578125" style="7" customWidth="1"/>
    <col min="5" max="5" width="14.5703125" style="7" customWidth="1"/>
    <col min="6" max="6" width="21.85546875" style="7" customWidth="1"/>
    <col min="7" max="7" width="14" style="7" customWidth="1"/>
    <col min="8" max="10" width="11.42578125" style="7"/>
    <col min="11" max="11" width="16.28515625" style="7" customWidth="1"/>
    <col min="12" max="12" width="12" style="7" customWidth="1"/>
    <col min="13" max="16384" width="11.42578125" style="7"/>
  </cols>
  <sheetData>
    <row r="2" spans="3:13" ht="15.75" customHeight="1" thickBot="1" x14ac:dyDescent="0.3">
      <c r="I2" s="147" t="s">
        <v>1274</v>
      </c>
      <c r="J2" s="147"/>
      <c r="K2" s="147"/>
      <c r="L2" s="147"/>
      <c r="M2" s="147"/>
    </row>
    <row r="3" spans="3:13" ht="46.5" customHeight="1" thickBot="1" x14ac:dyDescent="0.3">
      <c r="C3" s="74" t="s">
        <v>1278</v>
      </c>
      <c r="J3" s="91" t="s">
        <v>1275</v>
      </c>
      <c r="K3" s="92" t="s">
        <v>1276</v>
      </c>
      <c r="L3" s="92" t="s">
        <v>1277</v>
      </c>
      <c r="M3" s="93"/>
    </row>
    <row r="4" spans="3:13" ht="33" thickBot="1" x14ac:dyDescent="0.3">
      <c r="C4" s="97" t="s">
        <v>1275</v>
      </c>
      <c r="D4" s="97" t="s">
        <v>1056</v>
      </c>
      <c r="E4" s="98" t="s">
        <v>1279</v>
      </c>
      <c r="F4" s="98" t="s">
        <v>1253</v>
      </c>
      <c r="J4" s="94">
        <v>1</v>
      </c>
      <c r="K4" s="95">
        <v>35</v>
      </c>
      <c r="L4" s="96">
        <v>0.62</v>
      </c>
      <c r="M4" s="93"/>
    </row>
    <row r="5" spans="3:13" ht="45" x14ac:dyDescent="0.25">
      <c r="C5" s="99">
        <v>1</v>
      </c>
      <c r="D5" s="100" t="s">
        <v>1280</v>
      </c>
      <c r="E5" s="101">
        <v>0.38</v>
      </c>
      <c r="F5" s="100" t="s">
        <v>1256</v>
      </c>
      <c r="J5" s="93"/>
    </row>
    <row r="6" spans="3:13" ht="15.75" customHeight="1" x14ac:dyDescent="0.25">
      <c r="C6" s="148">
        <v>2</v>
      </c>
      <c r="D6" s="149" t="s">
        <v>1281</v>
      </c>
      <c r="E6" s="150">
        <v>0.69</v>
      </c>
      <c r="F6" s="151" t="s">
        <v>1256</v>
      </c>
      <c r="J6" s="93"/>
    </row>
    <row r="7" spans="3:13" ht="15.75" customHeight="1" x14ac:dyDescent="0.25">
      <c r="C7" s="148"/>
      <c r="D7" s="149"/>
      <c r="E7" s="150"/>
      <c r="F7" s="152"/>
      <c r="J7" s="93"/>
    </row>
    <row r="8" spans="3:13" ht="45" x14ac:dyDescent="0.25">
      <c r="C8" s="99">
        <v>3</v>
      </c>
      <c r="D8" s="100" t="s">
        <v>1282</v>
      </c>
      <c r="E8" s="101">
        <v>1.05</v>
      </c>
      <c r="F8" s="100" t="s">
        <v>1256</v>
      </c>
      <c r="J8" s="93"/>
    </row>
    <row r="9" spans="3:13" ht="45" x14ac:dyDescent="0.25">
      <c r="C9" s="99">
        <v>4</v>
      </c>
      <c r="D9" s="100" t="s">
        <v>1283</v>
      </c>
      <c r="E9" s="101">
        <v>0.55000000000000004</v>
      </c>
      <c r="F9" s="100" t="s">
        <v>1256</v>
      </c>
      <c r="M9" s="93"/>
    </row>
    <row r="10" spans="3:13" ht="45" x14ac:dyDescent="0.25">
      <c r="C10" s="99">
        <v>5</v>
      </c>
      <c r="D10" s="100" t="s">
        <v>1207</v>
      </c>
      <c r="E10" s="101">
        <v>0.45</v>
      </c>
      <c r="F10" s="100" t="s">
        <v>1256</v>
      </c>
      <c r="M10" s="93"/>
    </row>
    <row r="11" spans="3:13" ht="45" x14ac:dyDescent="0.25">
      <c r="C11" s="99">
        <v>6</v>
      </c>
      <c r="D11" s="100" t="s">
        <v>1284</v>
      </c>
      <c r="E11" s="101">
        <v>0.45</v>
      </c>
      <c r="F11" s="100" t="s">
        <v>1256</v>
      </c>
      <c r="M11" s="93"/>
    </row>
    <row r="12" spans="3:13" ht="51" customHeight="1" x14ac:dyDescent="0.25">
      <c r="C12" s="99">
        <v>7</v>
      </c>
      <c r="D12" s="98" t="s">
        <v>1285</v>
      </c>
      <c r="E12" s="101">
        <v>0.45</v>
      </c>
      <c r="F12" s="100" t="s">
        <v>1256</v>
      </c>
      <c r="M12" s="93"/>
    </row>
    <row r="13" spans="3:13" ht="62.25" customHeight="1" x14ac:dyDescent="0.25">
      <c r="C13" s="99">
        <v>8</v>
      </c>
      <c r="D13" s="100" t="s">
        <v>1211</v>
      </c>
      <c r="E13" s="101">
        <v>0.5</v>
      </c>
      <c r="F13" s="100" t="s">
        <v>1256</v>
      </c>
      <c r="M13" s="93"/>
    </row>
    <row r="14" spans="3:13" ht="45" x14ac:dyDescent="0.25">
      <c r="C14" s="99">
        <v>9</v>
      </c>
      <c r="D14" s="100" t="s">
        <v>1286</v>
      </c>
      <c r="E14" s="101">
        <v>0.72</v>
      </c>
      <c r="F14" s="100" t="s">
        <v>1256</v>
      </c>
      <c r="M14" s="93"/>
    </row>
    <row r="15" spans="3:13" ht="45" x14ac:dyDescent="0.25">
      <c r="C15" s="99">
        <v>10</v>
      </c>
      <c r="D15" s="98" t="s">
        <v>1287</v>
      </c>
      <c r="E15" s="101">
        <v>0.5</v>
      </c>
      <c r="F15" s="100" t="s">
        <v>1256</v>
      </c>
      <c r="M15" s="93"/>
    </row>
    <row r="16" spans="3:13" ht="45" x14ac:dyDescent="0.25">
      <c r="C16" s="99">
        <v>11</v>
      </c>
      <c r="D16" s="98" t="s">
        <v>1288</v>
      </c>
      <c r="E16" s="101">
        <v>0.54</v>
      </c>
      <c r="F16" s="100" t="s">
        <v>1256</v>
      </c>
      <c r="M16" s="93"/>
    </row>
    <row r="17" spans="3:13" ht="45" x14ac:dyDescent="0.25">
      <c r="C17" s="99">
        <v>12</v>
      </c>
      <c r="D17" s="98" t="s">
        <v>1220</v>
      </c>
      <c r="E17" s="101">
        <v>0.54</v>
      </c>
      <c r="F17" s="100" t="s">
        <v>1256</v>
      </c>
      <c r="M17" s="93"/>
    </row>
    <row r="18" spans="3:13" ht="45" x14ac:dyDescent="0.25">
      <c r="C18" s="99">
        <v>13</v>
      </c>
      <c r="D18" s="98" t="s">
        <v>1222</v>
      </c>
      <c r="E18" s="101">
        <v>0.54</v>
      </c>
      <c r="F18" s="100" t="s">
        <v>1256</v>
      </c>
      <c r="M18" s="93"/>
    </row>
    <row r="19" spans="3:13" ht="45" x14ac:dyDescent="0.25">
      <c r="C19" s="99">
        <v>14</v>
      </c>
      <c r="D19" s="98" t="s">
        <v>1289</v>
      </c>
      <c r="E19" s="101">
        <v>0.55000000000000004</v>
      </c>
      <c r="F19" s="100" t="s">
        <v>1256</v>
      </c>
      <c r="M19" s="93"/>
    </row>
    <row r="20" spans="3:13" ht="45" x14ac:dyDescent="0.25">
      <c r="C20" s="99">
        <v>15</v>
      </c>
      <c r="D20" s="100" t="s">
        <v>1224</v>
      </c>
      <c r="E20" s="101">
        <v>0.57999999999999996</v>
      </c>
      <c r="F20" s="100" t="s">
        <v>1256</v>
      </c>
      <c r="M20" s="93"/>
    </row>
    <row r="21" spans="3:13" ht="63.75" customHeight="1" x14ac:dyDescent="0.25">
      <c r="C21" s="99">
        <v>16</v>
      </c>
      <c r="D21" s="100" t="s">
        <v>1290</v>
      </c>
      <c r="E21" s="101">
        <v>0.63</v>
      </c>
      <c r="F21" s="100" t="s">
        <v>1256</v>
      </c>
      <c r="M21" s="93"/>
    </row>
    <row r="22" spans="3:13" ht="45" x14ac:dyDescent="0.25">
      <c r="C22" s="99">
        <v>17</v>
      </c>
      <c r="D22" s="100" t="s">
        <v>1291</v>
      </c>
      <c r="E22" s="101">
        <v>0.45</v>
      </c>
      <c r="F22" s="100" t="s">
        <v>1256</v>
      </c>
      <c r="M22" s="93"/>
    </row>
    <row r="23" spans="3:13" ht="45" x14ac:dyDescent="0.25">
      <c r="C23" s="99">
        <v>18</v>
      </c>
      <c r="D23" s="100" t="s">
        <v>1292</v>
      </c>
      <c r="E23" s="101">
        <v>0.66</v>
      </c>
      <c r="F23" s="100" t="s">
        <v>1256</v>
      </c>
      <c r="M23" s="93"/>
    </row>
    <row r="24" spans="3:13" ht="45" x14ac:dyDescent="0.25">
      <c r="C24" s="99">
        <v>19</v>
      </c>
      <c r="D24" s="100" t="s">
        <v>1293</v>
      </c>
      <c r="E24" s="101">
        <v>0.66</v>
      </c>
      <c r="F24" s="100" t="s">
        <v>1256</v>
      </c>
      <c r="M24" s="93"/>
    </row>
    <row r="25" spans="3:13" ht="45" x14ac:dyDescent="0.25">
      <c r="C25" s="99">
        <v>20</v>
      </c>
      <c r="D25" s="100" t="s">
        <v>1294</v>
      </c>
      <c r="E25" s="101">
        <v>0.69</v>
      </c>
      <c r="F25" s="100" t="s">
        <v>1256</v>
      </c>
      <c r="M25" s="93"/>
    </row>
    <row r="26" spans="3:13" ht="45" x14ac:dyDescent="0.25">
      <c r="C26" s="99">
        <v>21</v>
      </c>
      <c r="D26" s="100" t="s">
        <v>1295</v>
      </c>
      <c r="E26" s="101">
        <v>0.93</v>
      </c>
      <c r="F26" s="100" t="s">
        <v>1256</v>
      </c>
      <c r="M26" s="93"/>
    </row>
    <row r="27" spans="3:13" ht="45" x14ac:dyDescent="0.25">
      <c r="C27" s="99">
        <v>22</v>
      </c>
      <c r="D27" s="100" t="s">
        <v>1296</v>
      </c>
      <c r="E27" s="101">
        <v>0.56000000000000005</v>
      </c>
      <c r="F27" s="100" t="s">
        <v>1256</v>
      </c>
      <c r="M27" s="93"/>
    </row>
    <row r="28" spans="3:13" ht="45" x14ac:dyDescent="0.25">
      <c r="C28" s="99">
        <v>23</v>
      </c>
      <c r="D28" s="100" t="s">
        <v>1297</v>
      </c>
      <c r="E28" s="101">
        <v>0.82</v>
      </c>
      <c r="F28" s="100" t="s">
        <v>1256</v>
      </c>
      <c r="M28" s="93"/>
    </row>
    <row r="29" spans="3:13" ht="45" x14ac:dyDescent="0.25">
      <c r="C29" s="99">
        <v>24</v>
      </c>
      <c r="D29" s="100" t="s">
        <v>1298</v>
      </c>
      <c r="E29" s="101">
        <v>0.64</v>
      </c>
      <c r="F29" s="100" t="s">
        <v>1256</v>
      </c>
      <c r="M29" s="93"/>
    </row>
    <row r="30" spans="3:13" ht="45" x14ac:dyDescent="0.25">
      <c r="C30" s="99">
        <v>25</v>
      </c>
      <c r="D30" s="100" t="s">
        <v>1299</v>
      </c>
      <c r="E30" s="101">
        <v>0.76</v>
      </c>
      <c r="F30" s="100" t="s">
        <v>1256</v>
      </c>
      <c r="M30" s="93"/>
    </row>
    <row r="31" spans="3:13" ht="45" x14ac:dyDescent="0.25">
      <c r="C31" s="99">
        <v>26</v>
      </c>
      <c r="D31" s="100" t="s">
        <v>1300</v>
      </c>
      <c r="E31" s="101">
        <v>0.89</v>
      </c>
      <c r="F31" s="100" t="s">
        <v>1256</v>
      </c>
      <c r="M31" s="93"/>
    </row>
    <row r="32" spans="3:13" ht="45" x14ac:dyDescent="0.25">
      <c r="C32" s="99">
        <v>27</v>
      </c>
      <c r="D32" s="100" t="s">
        <v>1301</v>
      </c>
      <c r="E32" s="101">
        <v>0.82</v>
      </c>
      <c r="F32" s="100" t="s">
        <v>1256</v>
      </c>
      <c r="M32" s="93"/>
    </row>
    <row r="33" spans="3:13" ht="45" x14ac:dyDescent="0.25">
      <c r="C33" s="99">
        <v>28</v>
      </c>
      <c r="D33" s="100" t="s">
        <v>1302</v>
      </c>
      <c r="E33" s="101">
        <v>0.26</v>
      </c>
      <c r="F33" s="100" t="s">
        <v>1256</v>
      </c>
      <c r="M33" s="93"/>
    </row>
    <row r="34" spans="3:13" ht="45" x14ac:dyDescent="0.25">
      <c r="C34" s="99">
        <v>29</v>
      </c>
      <c r="D34" s="100" t="s">
        <v>1303</v>
      </c>
      <c r="E34" s="101">
        <v>0.41</v>
      </c>
      <c r="F34" s="100" t="s">
        <v>1256</v>
      </c>
      <c r="M34" s="93"/>
    </row>
    <row r="35" spans="3:13" ht="45" x14ac:dyDescent="0.25">
      <c r="C35" s="99">
        <v>30</v>
      </c>
      <c r="D35" s="100" t="s">
        <v>1304</v>
      </c>
      <c r="E35" s="101">
        <v>0.84</v>
      </c>
      <c r="F35" s="100" t="s">
        <v>1256</v>
      </c>
      <c r="M35" s="93"/>
    </row>
    <row r="36" spans="3:13" ht="45" x14ac:dyDescent="0.25">
      <c r="C36" s="99">
        <v>31</v>
      </c>
      <c r="D36" s="100" t="s">
        <v>1305</v>
      </c>
      <c r="E36" s="101">
        <v>0.73</v>
      </c>
      <c r="F36" s="100" t="s">
        <v>1256</v>
      </c>
      <c r="M36" s="93"/>
    </row>
    <row r="37" spans="3:13" ht="45" x14ac:dyDescent="0.25">
      <c r="C37" s="99">
        <v>32</v>
      </c>
      <c r="D37" s="100" t="s">
        <v>1306</v>
      </c>
      <c r="E37" s="101">
        <v>0.7</v>
      </c>
      <c r="F37" s="100" t="s">
        <v>1256</v>
      </c>
      <c r="M37" s="93"/>
    </row>
    <row r="38" spans="3:13" ht="45" x14ac:dyDescent="0.25">
      <c r="C38" s="99">
        <v>33</v>
      </c>
      <c r="D38" s="100" t="s">
        <v>1307</v>
      </c>
      <c r="E38" s="101">
        <v>0.52</v>
      </c>
      <c r="F38" s="100" t="s">
        <v>1256</v>
      </c>
      <c r="M38" s="93"/>
    </row>
    <row r="39" spans="3:13" ht="45" x14ac:dyDescent="0.25">
      <c r="C39" s="99">
        <v>34</v>
      </c>
      <c r="D39" s="100" t="s">
        <v>1308</v>
      </c>
      <c r="E39" s="101">
        <v>0.52</v>
      </c>
      <c r="F39" s="100" t="s">
        <v>1256</v>
      </c>
      <c r="M39" s="93"/>
    </row>
    <row r="40" spans="3:13" ht="45" x14ac:dyDescent="0.25">
      <c r="C40" s="99">
        <v>35</v>
      </c>
      <c r="D40" s="100" t="s">
        <v>1309</v>
      </c>
      <c r="E40" s="101">
        <v>0.59</v>
      </c>
      <c r="F40" s="100" t="s">
        <v>1256</v>
      </c>
      <c r="M40" s="93"/>
    </row>
    <row r="41" spans="3:13" ht="60" x14ac:dyDescent="0.25">
      <c r="C41" s="102"/>
      <c r="D41" s="103" t="s">
        <v>1310</v>
      </c>
      <c r="E41" s="104">
        <f>SUM(E5:E40)/35</f>
        <v>0.61628571428571433</v>
      </c>
      <c r="F41" s="100"/>
      <c r="M41" s="93"/>
    </row>
    <row r="42" spans="3:13" x14ac:dyDescent="0.25">
      <c r="M42" s="93"/>
    </row>
    <row r="43" spans="3:13" x14ac:dyDescent="0.25">
      <c r="M43" s="93"/>
    </row>
  </sheetData>
  <mergeCells count="5">
    <mergeCell ref="C6:C7"/>
    <mergeCell ref="D6:D7"/>
    <mergeCell ref="E6:E7"/>
    <mergeCell ref="F6:F7"/>
    <mergeCell ref="I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Formulas por especie</vt:lpstr>
      <vt:lpstr>MEDICIONES CONIFERAS</vt:lpstr>
      <vt:lpstr>MEDICIONES LATIFOLIADAS</vt:lpstr>
      <vt:lpstr>Densidades para coniferas</vt:lpstr>
      <vt:lpstr>Densidades para latifoliadas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2017-04-27T21:12:09Z</dcterms:modified>
</cp:coreProperties>
</file>